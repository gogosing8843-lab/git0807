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안티그래피티\상수도 관리 시스템\"/>
    </mc:Choice>
  </mc:AlternateContent>
  <xr:revisionPtr revIDLastSave="0" documentId="13_ncr:1_{864B02F5-F51F-4D1E-8144-2E291326FFA3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🏠메인대시보드" sheetId="1" r:id="rId1"/>
    <sheet name="①급수량관리" sheetId="2" r:id="rId2"/>
    <sheet name="②수질검사" sheetId="3" r:id="rId3"/>
    <sheet name="③누수_유수율" sheetId="4" r:id="rId4"/>
    <sheet name="④요금수입" sheetId="5" r:id="rId5"/>
    <sheet name="⑤민원관리" sheetId="6" r:id="rId6"/>
    <sheet name="⑥시설물점검" sheetId="7" r:id="rId7"/>
    <sheet name="⑦예산집행" sheetId="8" r:id="rId8"/>
  </sheets>
  <definedNames>
    <definedName name="_xlnm.Print_Titles" localSheetId="1">①급수량관리!$1:$4</definedName>
    <definedName name="_xlnm.Print_Titles" localSheetId="2">②수질검사!$1:$4</definedName>
    <definedName name="_xlnm.Print_Titles" localSheetId="3">③누수_유수율!$1:$4</definedName>
    <definedName name="_xlnm.Print_Titles" localSheetId="4">④요금수입!$1:$4</definedName>
    <definedName name="_xlnm.Print_Titles" localSheetId="5">⑤민원관리!$1:$4</definedName>
    <definedName name="_xlnm.Print_Titles" localSheetId="6">⑥시설물점검!$1:$4</definedName>
    <definedName name="_xlnm.Print_Titles" localSheetId="7">⑦예산집행!$1:$4</definedName>
    <definedName name="_xlnm.Print_Titles" localSheetId="0">🏠메인대시보드!$1:$4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8" i="8" l="1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H8" i="8"/>
  <c r="G12" i="8" s="1"/>
  <c r="H12" i="8" s="1"/>
  <c r="F8" i="8"/>
  <c r="E8" i="8"/>
  <c r="H7" i="8"/>
  <c r="I7" i="8" s="1"/>
  <c r="F7" i="8"/>
  <c r="E7" i="8"/>
  <c r="H6" i="8"/>
  <c r="G10" i="8" s="1"/>
  <c r="H10" i="8" s="1"/>
  <c r="F6" i="8"/>
  <c r="E6" i="8"/>
  <c r="H5" i="8"/>
  <c r="I5" i="8" s="1"/>
  <c r="F5" i="8"/>
  <c r="E5" i="8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I10" i="5"/>
  <c r="H10" i="5"/>
  <c r="D10" i="5"/>
  <c r="I9" i="5"/>
  <c r="H9" i="5"/>
  <c r="D9" i="5"/>
  <c r="I8" i="5"/>
  <c r="H8" i="5"/>
  <c r="D8" i="5"/>
  <c r="I7" i="5"/>
  <c r="H7" i="5"/>
  <c r="D7" i="5"/>
  <c r="I6" i="5"/>
  <c r="H6" i="5"/>
  <c r="D6" i="5"/>
  <c r="I5" i="5"/>
  <c r="H5" i="5"/>
  <c r="D5" i="5"/>
  <c r="I10" i="4"/>
  <c r="F10" i="4"/>
  <c r="E10" i="4"/>
  <c r="K10" i="4" s="1"/>
  <c r="I9" i="4"/>
  <c r="F9" i="4"/>
  <c r="E9" i="4"/>
  <c r="K9" i="4" s="1"/>
  <c r="I8" i="4"/>
  <c r="F8" i="4"/>
  <c r="E8" i="4"/>
  <c r="K8" i="4" s="1"/>
  <c r="I7" i="4"/>
  <c r="F7" i="4"/>
  <c r="E7" i="4"/>
  <c r="K7" i="4" s="1"/>
  <c r="I6" i="4"/>
  <c r="F6" i="4"/>
  <c r="E6" i="4"/>
  <c r="K6" i="4" s="1"/>
  <c r="I5" i="4"/>
  <c r="F5" i="4"/>
  <c r="E5" i="4"/>
  <c r="K5" i="4" s="1"/>
  <c r="I34" i="2"/>
  <c r="G34" i="2"/>
  <c r="H34" i="2" s="1"/>
  <c r="F34" i="2"/>
  <c r="I33" i="2"/>
  <c r="G33" i="2"/>
  <c r="H33" i="2" s="1"/>
  <c r="F33" i="2"/>
  <c r="I32" i="2"/>
  <c r="G32" i="2"/>
  <c r="H32" i="2" s="1"/>
  <c r="F32" i="2"/>
  <c r="I31" i="2"/>
  <c r="G31" i="2"/>
  <c r="H31" i="2" s="1"/>
  <c r="F31" i="2"/>
  <c r="I30" i="2"/>
  <c r="G30" i="2"/>
  <c r="H30" i="2" s="1"/>
  <c r="F30" i="2"/>
  <c r="I29" i="2"/>
  <c r="G29" i="2"/>
  <c r="H29" i="2" s="1"/>
  <c r="F29" i="2"/>
  <c r="I28" i="2"/>
  <c r="G28" i="2"/>
  <c r="H28" i="2" s="1"/>
  <c r="F28" i="2"/>
  <c r="I27" i="2"/>
  <c r="G27" i="2"/>
  <c r="H27" i="2" s="1"/>
  <c r="F27" i="2"/>
  <c r="I26" i="2"/>
  <c r="G26" i="2"/>
  <c r="H26" i="2" s="1"/>
  <c r="F26" i="2"/>
  <c r="I25" i="2"/>
  <c r="G25" i="2"/>
  <c r="H25" i="2" s="1"/>
  <c r="F25" i="2"/>
  <c r="I24" i="2"/>
  <c r="G24" i="2"/>
  <c r="H24" i="2" s="1"/>
  <c r="F24" i="2"/>
  <c r="I23" i="2"/>
  <c r="G23" i="2"/>
  <c r="H23" i="2" s="1"/>
  <c r="F23" i="2"/>
  <c r="I22" i="2"/>
  <c r="G22" i="2"/>
  <c r="H22" i="2" s="1"/>
  <c r="F22" i="2"/>
  <c r="I21" i="2"/>
  <c r="G21" i="2"/>
  <c r="H21" i="2" s="1"/>
  <c r="F21" i="2"/>
  <c r="I20" i="2"/>
  <c r="G20" i="2"/>
  <c r="H20" i="2" s="1"/>
  <c r="F20" i="2"/>
  <c r="I19" i="2"/>
  <c r="G19" i="2"/>
  <c r="H19" i="2" s="1"/>
  <c r="F19" i="2"/>
  <c r="I18" i="2"/>
  <c r="G18" i="2"/>
  <c r="H18" i="2" s="1"/>
  <c r="F18" i="2"/>
  <c r="I17" i="2"/>
  <c r="G17" i="2"/>
  <c r="H17" i="2" s="1"/>
  <c r="F17" i="2"/>
  <c r="I16" i="2"/>
  <c r="G16" i="2"/>
  <c r="H16" i="2" s="1"/>
  <c r="F16" i="2"/>
  <c r="I15" i="2"/>
  <c r="G15" i="2"/>
  <c r="H15" i="2" s="1"/>
  <c r="F15" i="2"/>
  <c r="I14" i="2"/>
  <c r="G14" i="2"/>
  <c r="H14" i="2" s="1"/>
  <c r="F14" i="2"/>
  <c r="I13" i="2"/>
  <c r="G13" i="2"/>
  <c r="H13" i="2" s="1"/>
  <c r="F13" i="2"/>
  <c r="I12" i="2"/>
  <c r="G12" i="2"/>
  <c r="H12" i="2" s="1"/>
  <c r="F12" i="2"/>
  <c r="I11" i="2"/>
  <c r="G11" i="2"/>
  <c r="H11" i="2" s="1"/>
  <c r="F11" i="2"/>
  <c r="I10" i="2"/>
  <c r="G10" i="2"/>
  <c r="H10" i="2" s="1"/>
  <c r="F10" i="2"/>
  <c r="I9" i="2"/>
  <c r="F9" i="2"/>
  <c r="I8" i="2"/>
  <c r="F8" i="2"/>
  <c r="I7" i="2"/>
  <c r="F7" i="2"/>
  <c r="I6" i="2"/>
  <c r="F6" i="2"/>
  <c r="I5" i="2"/>
  <c r="F5" i="2"/>
  <c r="B60" i="1"/>
  <c r="B59" i="1"/>
  <c r="B58" i="1"/>
  <c r="B57" i="1"/>
  <c r="D54" i="1"/>
  <c r="B54" i="1"/>
  <c r="G53" i="1"/>
  <c r="F53" i="1"/>
  <c r="E53" i="1"/>
  <c r="D53" i="1"/>
  <c r="C53" i="1"/>
  <c r="B53" i="1"/>
  <c r="H53" i="1" s="1"/>
  <c r="H52" i="1"/>
  <c r="G52" i="1"/>
  <c r="F52" i="1"/>
  <c r="E52" i="1"/>
  <c r="D52" i="1"/>
  <c r="C52" i="1"/>
  <c r="B52" i="1"/>
  <c r="G51" i="1"/>
  <c r="F51" i="1"/>
  <c r="E51" i="1"/>
  <c r="D51" i="1"/>
  <c r="C51" i="1"/>
  <c r="C54" i="1" s="1"/>
  <c r="B51" i="1"/>
  <c r="G50" i="1"/>
  <c r="G54" i="1" s="1"/>
  <c r="F50" i="1"/>
  <c r="F54" i="1" s="1"/>
  <c r="E50" i="1"/>
  <c r="E54" i="1" s="1"/>
  <c r="D50" i="1"/>
  <c r="C50" i="1"/>
  <c r="B50" i="1"/>
  <c r="G46" i="1"/>
  <c r="G45" i="1"/>
  <c r="F45" i="1"/>
  <c r="E45" i="1"/>
  <c r="D45" i="1"/>
  <c r="H45" i="1" s="1"/>
  <c r="C45" i="1"/>
  <c r="B45" i="1"/>
  <c r="G44" i="1"/>
  <c r="F44" i="1"/>
  <c r="E44" i="1"/>
  <c r="D44" i="1"/>
  <c r="C44" i="1"/>
  <c r="B44" i="1"/>
  <c r="H44" i="1" s="1"/>
  <c r="G43" i="1"/>
  <c r="F43" i="1"/>
  <c r="E43" i="1"/>
  <c r="D43" i="1"/>
  <c r="C43" i="1"/>
  <c r="B43" i="1"/>
  <c r="H43" i="1" s="1"/>
  <c r="G42" i="1"/>
  <c r="F42" i="1"/>
  <c r="E42" i="1"/>
  <c r="E46" i="1" s="1"/>
  <c r="D42" i="1"/>
  <c r="C42" i="1"/>
  <c r="B42" i="1"/>
  <c r="H42" i="1" s="1"/>
  <c r="G41" i="1"/>
  <c r="F41" i="1"/>
  <c r="F46" i="1" s="1"/>
  <c r="E41" i="1"/>
  <c r="D41" i="1"/>
  <c r="D46" i="1" s="1"/>
  <c r="C41" i="1"/>
  <c r="C46" i="1" s="1"/>
  <c r="B41" i="1"/>
  <c r="B46" i="1" s="1"/>
  <c r="G37" i="1"/>
  <c r="F37" i="1"/>
  <c r="E37" i="1"/>
  <c r="D37" i="1"/>
  <c r="C37" i="1"/>
  <c r="B37" i="1"/>
  <c r="H37" i="1" s="1"/>
  <c r="G36" i="1"/>
  <c r="F36" i="1"/>
  <c r="H36" i="1" s="1"/>
  <c r="E36" i="1"/>
  <c r="D36" i="1"/>
  <c r="C36" i="1"/>
  <c r="B36" i="1"/>
  <c r="G35" i="1"/>
  <c r="F35" i="1"/>
  <c r="E35" i="1"/>
  <c r="H35" i="1" s="1"/>
  <c r="D35" i="1"/>
  <c r="C35" i="1"/>
  <c r="B35" i="1"/>
  <c r="G34" i="1"/>
  <c r="F34" i="1"/>
  <c r="E34" i="1"/>
  <c r="D34" i="1"/>
  <c r="H34" i="1" s="1"/>
  <c r="C34" i="1"/>
  <c r="B34" i="1"/>
  <c r="G33" i="1"/>
  <c r="F33" i="1"/>
  <c r="E33" i="1"/>
  <c r="D33" i="1"/>
  <c r="C33" i="1"/>
  <c r="H33" i="1" s="1"/>
  <c r="B33" i="1"/>
  <c r="G29" i="1"/>
  <c r="F29" i="1"/>
  <c r="E29" i="1"/>
  <c r="D29" i="1"/>
  <c r="C29" i="1"/>
  <c r="B29" i="1"/>
  <c r="G28" i="1"/>
  <c r="F28" i="1"/>
  <c r="E28" i="1"/>
  <c r="D28" i="1"/>
  <c r="C28" i="1"/>
  <c r="B28" i="1"/>
  <c r="G27" i="1"/>
  <c r="F27" i="1"/>
  <c r="E27" i="1"/>
  <c r="D27" i="1"/>
  <c r="C27" i="1"/>
  <c r="B27" i="1"/>
  <c r="G26" i="1"/>
  <c r="F26" i="1"/>
  <c r="E26" i="1"/>
  <c r="D26" i="1"/>
  <c r="C26" i="1"/>
  <c r="B26" i="1"/>
  <c r="G25" i="1"/>
  <c r="F25" i="1"/>
  <c r="E25" i="1"/>
  <c r="D25" i="1"/>
  <c r="C25" i="1"/>
  <c r="B25" i="1"/>
  <c r="G20" i="1"/>
  <c r="F20" i="1"/>
  <c r="E20" i="1"/>
  <c r="D20" i="1"/>
  <c r="C20" i="1"/>
  <c r="B20" i="1"/>
  <c r="G19" i="1"/>
  <c r="F19" i="1"/>
  <c r="E19" i="1"/>
  <c r="D19" i="1"/>
  <c r="C19" i="1"/>
  <c r="B19" i="1"/>
  <c r="G18" i="1"/>
  <c r="F18" i="1"/>
  <c r="E18" i="1"/>
  <c r="D18" i="1"/>
  <c r="C18" i="1"/>
  <c r="B18" i="1"/>
  <c r="G17" i="1"/>
  <c r="G21" i="1" s="1"/>
  <c r="F17" i="1"/>
  <c r="E17" i="1"/>
  <c r="D17" i="1"/>
  <c r="D21" i="1" s="1"/>
  <c r="C17" i="1"/>
  <c r="C21" i="1" s="1"/>
  <c r="B17" i="1"/>
  <c r="B21" i="1" s="1"/>
  <c r="G16" i="1"/>
  <c r="F16" i="1"/>
  <c r="F21" i="1" s="1"/>
  <c r="E16" i="1"/>
  <c r="E21" i="1" s="1"/>
  <c r="D16" i="1"/>
  <c r="C16" i="1"/>
  <c r="B16" i="1"/>
  <c r="M7" i="1"/>
  <c r="I7" i="1"/>
  <c r="E7" i="1"/>
  <c r="A7" i="1"/>
  <c r="G14" i="8" l="1"/>
  <c r="H14" i="8" s="1"/>
  <c r="I10" i="8"/>
  <c r="I12" i="8"/>
  <c r="G16" i="8"/>
  <c r="H16" i="8" s="1"/>
  <c r="H50" i="1"/>
  <c r="G11" i="8"/>
  <c r="H11" i="8" s="1"/>
  <c r="H41" i="1"/>
  <c r="H46" i="1" s="1"/>
  <c r="H51" i="1"/>
  <c r="I6" i="8"/>
  <c r="I8" i="8"/>
  <c r="G9" i="8"/>
  <c r="H9" i="8" s="1"/>
  <c r="G15" i="8" l="1"/>
  <c r="H15" i="8" s="1"/>
  <c r="I11" i="8"/>
  <c r="H54" i="1"/>
  <c r="G13" i="8"/>
  <c r="H13" i="8" s="1"/>
  <c r="I9" i="8"/>
  <c r="G20" i="8"/>
  <c r="H20" i="8" s="1"/>
  <c r="I16" i="8"/>
  <c r="G18" i="8"/>
  <c r="H18" i="8" s="1"/>
  <c r="I14" i="8"/>
  <c r="G22" i="8" l="1"/>
  <c r="H22" i="8" s="1"/>
  <c r="I18" i="8"/>
  <c r="I20" i="8"/>
  <c r="G24" i="8"/>
  <c r="H24" i="8" s="1"/>
  <c r="G17" i="8"/>
  <c r="H17" i="8" s="1"/>
  <c r="I13" i="8"/>
  <c r="I15" i="8"/>
  <c r="G19" i="8"/>
  <c r="H19" i="8" s="1"/>
  <c r="G23" i="8" l="1"/>
  <c r="H23" i="8" s="1"/>
  <c r="I19" i="8"/>
  <c r="G21" i="8"/>
  <c r="H21" i="8" s="1"/>
  <c r="I17" i="8"/>
  <c r="G28" i="8"/>
  <c r="H28" i="8" s="1"/>
  <c r="I28" i="8" s="1"/>
  <c r="I24" i="8"/>
  <c r="G26" i="8"/>
  <c r="H26" i="8" s="1"/>
  <c r="I26" i="8" s="1"/>
  <c r="I22" i="8"/>
  <c r="I23" i="8" l="1"/>
  <c r="G27" i="8"/>
  <c r="H27" i="8" s="1"/>
  <c r="I27" i="8" s="1"/>
  <c r="G25" i="8"/>
  <c r="H25" i="8" s="1"/>
  <c r="I25" i="8" s="1"/>
  <c r="I21" i="8"/>
</calcChain>
</file>

<file path=xl/sharedStrings.xml><?xml version="1.0" encoding="utf-8"?>
<sst xmlns="http://schemas.openxmlformats.org/spreadsheetml/2006/main" count="730" uniqueCount="288">
  <si>
    <t xml:space="preserve">  🌊 ○○시 상수도사업소 통합관리 대시보드</t>
  </si>
  <si>
    <r>
      <rPr>
        <i/>
        <sz val="10"/>
        <color rgb="FFFFFFFF"/>
        <rFont val="Arial"/>
        <family val="2"/>
      </rPr>
      <t xml:space="preserve">   2025</t>
    </r>
    <r>
      <rPr>
        <i/>
        <sz val="10"/>
        <color rgb="FFFFFFFF"/>
        <rFont val="Noto Sans CJK SC"/>
        <family val="2"/>
      </rPr>
      <t xml:space="preserve">년 </t>
    </r>
    <r>
      <rPr>
        <i/>
        <sz val="10"/>
        <color rgb="FFFFFFFF"/>
        <rFont val="Arial"/>
        <family val="2"/>
      </rPr>
      <t>1</t>
    </r>
    <r>
      <rPr>
        <i/>
        <sz val="10"/>
        <color rgb="FFFFFFFF"/>
        <rFont val="Noto Sans CJK SC"/>
        <family val="2"/>
      </rPr>
      <t xml:space="preserve">월 </t>
    </r>
    <r>
      <rPr>
        <i/>
        <sz val="10"/>
        <color rgb="FFFFFFFF"/>
        <rFont val="Arial"/>
        <family val="2"/>
      </rPr>
      <t>~ 6</t>
    </r>
    <r>
      <rPr>
        <i/>
        <sz val="10"/>
        <color rgb="FFFFFFFF"/>
        <rFont val="Noto Sans CJK SC"/>
        <family val="2"/>
      </rPr>
      <t xml:space="preserve">월 반기 현황  </t>
    </r>
    <r>
      <rPr>
        <i/>
        <sz val="10"/>
        <color rgb="FFFFFFFF"/>
        <rFont val="Arial"/>
        <family val="2"/>
      </rPr>
      <t>|  7</t>
    </r>
    <r>
      <rPr>
        <i/>
        <sz val="10"/>
        <color rgb="FFFFFFFF"/>
        <rFont val="Noto Sans CJK SC"/>
        <family val="2"/>
      </rPr>
      <t xml:space="preserve">개 관리시트 연동  </t>
    </r>
    <r>
      <rPr>
        <i/>
        <sz val="10"/>
        <color rgb="FFFFFFFF"/>
        <rFont val="Arial"/>
        <family val="2"/>
      </rPr>
      <t xml:space="preserve">|  </t>
    </r>
    <r>
      <rPr>
        <i/>
        <sz val="10"/>
        <color rgb="FFFFFFFF"/>
        <rFont val="Noto Sans CJK SC"/>
        <family val="2"/>
      </rPr>
      <t>최종 업데이트</t>
    </r>
    <r>
      <rPr>
        <i/>
        <sz val="10"/>
        <color rgb="FFFFFFFF"/>
        <rFont val="Arial"/>
        <family val="2"/>
      </rPr>
      <t>: 2025-06-30</t>
    </r>
  </si>
  <si>
    <r>
      <rPr>
        <b/>
        <sz val="10"/>
        <color rgb="FFFFFFFF"/>
        <rFont val="Arial"/>
        <family val="2"/>
      </rPr>
      <t>💧 6</t>
    </r>
    <r>
      <rPr>
        <b/>
        <sz val="10"/>
        <color rgb="FFFFFFFF"/>
        <rFont val="Noto Sans CJK SC"/>
        <family val="2"/>
      </rPr>
      <t>월 총급수량</t>
    </r>
  </si>
  <si>
    <r>
      <rPr>
        <b/>
        <sz val="10"/>
        <color rgb="FFFFFFFF"/>
        <rFont val="Arial"/>
        <family val="2"/>
      </rPr>
      <t>📊 6</t>
    </r>
    <r>
      <rPr>
        <b/>
        <sz val="10"/>
        <color rgb="FFFFFFFF"/>
        <rFont val="Noto Sans CJK SC"/>
        <family val="2"/>
      </rPr>
      <t>월 유수율</t>
    </r>
  </si>
  <si>
    <r>
      <rPr>
        <b/>
        <sz val="10"/>
        <color rgb="FFFFFFFF"/>
        <rFont val="Arial"/>
        <family val="2"/>
      </rPr>
      <t>💰 6</t>
    </r>
    <r>
      <rPr>
        <b/>
        <sz val="10"/>
        <color rgb="FFFFFFFF"/>
        <rFont val="Noto Sans CJK SC"/>
        <family val="2"/>
      </rPr>
      <t>월 수납율</t>
    </r>
  </si>
  <si>
    <r>
      <rPr>
        <b/>
        <sz val="10"/>
        <color rgb="FFFFFFFF"/>
        <rFont val="Arial"/>
        <family val="2"/>
      </rPr>
      <t>📞 6</t>
    </r>
    <r>
      <rPr>
        <b/>
        <sz val="10"/>
        <color rgb="FFFFFFFF"/>
        <rFont val="Noto Sans CJK SC"/>
        <family val="2"/>
      </rPr>
      <t>월 민원건수</t>
    </r>
  </si>
  <si>
    <t>㎥</t>
  </si>
  <si>
    <t>건</t>
  </si>
  <si>
    <r>
      <rPr>
        <b/>
        <sz val="11"/>
        <color rgb="FFFFFFFF"/>
        <rFont val="Noto Sans CJK SC"/>
        <family val="2"/>
      </rPr>
      <t xml:space="preserve">  📈 월별 총 급수량 현황 </t>
    </r>
    <r>
      <rPr>
        <b/>
        <sz val="11"/>
        <color rgb="FFFFFFFF"/>
        <rFont val="Arial"/>
        <family val="2"/>
      </rPr>
      <t>(1</t>
    </r>
    <r>
      <rPr>
        <b/>
        <sz val="11"/>
        <color rgb="FFFFFFFF"/>
        <rFont val="Noto Sans CJK SC"/>
        <family val="2"/>
      </rPr>
      <t>월</t>
    </r>
    <r>
      <rPr>
        <b/>
        <sz val="11"/>
        <color rgb="FFFFFFFF"/>
        <rFont val="Arial"/>
        <family val="2"/>
      </rPr>
      <t>~6</t>
    </r>
    <r>
      <rPr>
        <b/>
        <sz val="11"/>
        <color rgb="FFFFFFFF"/>
        <rFont val="Noto Sans CJK SC"/>
        <family val="2"/>
      </rPr>
      <t>월</t>
    </r>
    <r>
      <rPr>
        <b/>
        <sz val="11"/>
        <color rgb="FFFFFFFF"/>
        <rFont val="Arial"/>
        <family val="2"/>
      </rPr>
      <t>)</t>
    </r>
  </si>
  <si>
    <t>구분</t>
  </si>
  <si>
    <r>
      <rPr>
        <b/>
        <sz val="9"/>
        <color rgb="FF1A3A5C"/>
        <rFont val="Arial"/>
        <family val="2"/>
      </rPr>
      <t>1</t>
    </r>
    <r>
      <rPr>
        <b/>
        <sz val="9"/>
        <color rgb="FF1A3A5C"/>
        <rFont val="Noto Sans CJK SC"/>
        <family val="2"/>
      </rPr>
      <t>월</t>
    </r>
  </si>
  <si>
    <r>
      <rPr>
        <b/>
        <sz val="9"/>
        <color rgb="FF1A3A5C"/>
        <rFont val="Arial"/>
        <family val="2"/>
      </rPr>
      <t>2</t>
    </r>
    <r>
      <rPr>
        <b/>
        <sz val="9"/>
        <color rgb="FF1A3A5C"/>
        <rFont val="Noto Sans CJK SC"/>
        <family val="2"/>
      </rPr>
      <t>월</t>
    </r>
  </si>
  <si>
    <r>
      <rPr>
        <b/>
        <sz val="9"/>
        <color rgb="FF1A3A5C"/>
        <rFont val="Arial"/>
        <family val="2"/>
      </rPr>
      <t>3</t>
    </r>
    <r>
      <rPr>
        <b/>
        <sz val="9"/>
        <color rgb="FF1A3A5C"/>
        <rFont val="Noto Sans CJK SC"/>
        <family val="2"/>
      </rPr>
      <t>월</t>
    </r>
  </si>
  <si>
    <r>
      <rPr>
        <b/>
        <sz val="9"/>
        <color rgb="FF1A3A5C"/>
        <rFont val="Arial"/>
        <family val="2"/>
      </rPr>
      <t>4</t>
    </r>
    <r>
      <rPr>
        <b/>
        <sz val="9"/>
        <color rgb="FF1A3A5C"/>
        <rFont val="Noto Sans CJK SC"/>
        <family val="2"/>
      </rPr>
      <t>월</t>
    </r>
  </si>
  <si>
    <r>
      <rPr>
        <b/>
        <sz val="9"/>
        <color rgb="FF1A3A5C"/>
        <rFont val="Arial"/>
        <family val="2"/>
      </rPr>
      <t>5</t>
    </r>
    <r>
      <rPr>
        <b/>
        <sz val="9"/>
        <color rgb="FF1A3A5C"/>
        <rFont val="Noto Sans CJK SC"/>
        <family val="2"/>
      </rPr>
      <t>월</t>
    </r>
  </si>
  <si>
    <r>
      <rPr>
        <b/>
        <sz val="9"/>
        <color rgb="FF1A3A5C"/>
        <rFont val="Arial"/>
        <family val="2"/>
      </rPr>
      <t>6</t>
    </r>
    <r>
      <rPr>
        <b/>
        <sz val="9"/>
        <color rgb="FF1A3A5C"/>
        <rFont val="Noto Sans CJK SC"/>
        <family val="2"/>
      </rPr>
      <t>월</t>
    </r>
  </si>
  <si>
    <t>중앙구</t>
  </si>
  <si>
    <t>동부구</t>
  </si>
  <si>
    <t>서부구</t>
  </si>
  <si>
    <t>남부구</t>
  </si>
  <si>
    <t>북부구</t>
  </si>
  <si>
    <t>합 계</t>
  </si>
  <si>
    <r>
      <rPr>
        <b/>
        <sz val="11"/>
        <color rgb="FFFFFFFF"/>
        <rFont val="Noto Sans CJK SC"/>
        <family val="2"/>
      </rPr>
      <t xml:space="preserve">  📊 월별 유수율 및 누수 현황 </t>
    </r>
    <r>
      <rPr>
        <b/>
        <sz val="11"/>
        <color rgb="FFFFFFFF"/>
        <rFont val="Arial"/>
        <family val="2"/>
      </rPr>
      <t>(③</t>
    </r>
    <r>
      <rPr>
        <b/>
        <sz val="11"/>
        <color rgb="FFFFFFFF"/>
        <rFont val="Noto Sans CJK SC"/>
        <family val="2"/>
      </rPr>
      <t>누수</t>
    </r>
    <r>
      <rPr>
        <b/>
        <sz val="11"/>
        <color rgb="FFFFFFFF"/>
        <rFont val="Arial"/>
        <family val="2"/>
      </rPr>
      <t>_</t>
    </r>
    <r>
      <rPr>
        <b/>
        <sz val="11"/>
        <color rgb="FFFFFFFF"/>
        <rFont val="Noto Sans CJK SC"/>
        <family val="2"/>
      </rPr>
      <t>유수율 연동</t>
    </r>
    <r>
      <rPr>
        <b/>
        <sz val="11"/>
        <color rgb="FFFFFFFF"/>
        <rFont val="Arial"/>
        <family val="2"/>
      </rPr>
      <t>)</t>
    </r>
  </si>
  <si>
    <r>
      <rPr>
        <b/>
        <sz val="9"/>
        <color rgb="FF085041"/>
        <rFont val="Arial"/>
        <family val="2"/>
      </rPr>
      <t>1</t>
    </r>
    <r>
      <rPr>
        <b/>
        <sz val="9"/>
        <color rgb="FF085041"/>
        <rFont val="Noto Sans CJK SC"/>
        <family val="2"/>
      </rPr>
      <t>월</t>
    </r>
  </si>
  <si>
    <r>
      <rPr>
        <b/>
        <sz val="9"/>
        <color rgb="FF085041"/>
        <rFont val="Arial"/>
        <family val="2"/>
      </rPr>
      <t>2</t>
    </r>
    <r>
      <rPr>
        <b/>
        <sz val="9"/>
        <color rgb="FF085041"/>
        <rFont val="Noto Sans CJK SC"/>
        <family val="2"/>
      </rPr>
      <t>월</t>
    </r>
  </si>
  <si>
    <r>
      <rPr>
        <b/>
        <sz val="9"/>
        <color rgb="FF085041"/>
        <rFont val="Arial"/>
        <family val="2"/>
      </rPr>
      <t>3</t>
    </r>
    <r>
      <rPr>
        <b/>
        <sz val="9"/>
        <color rgb="FF085041"/>
        <rFont val="Noto Sans CJK SC"/>
        <family val="2"/>
      </rPr>
      <t>월</t>
    </r>
  </si>
  <si>
    <r>
      <rPr>
        <b/>
        <sz val="9"/>
        <color rgb="FF085041"/>
        <rFont val="Arial"/>
        <family val="2"/>
      </rPr>
      <t>4</t>
    </r>
    <r>
      <rPr>
        <b/>
        <sz val="9"/>
        <color rgb="FF085041"/>
        <rFont val="Noto Sans CJK SC"/>
        <family val="2"/>
      </rPr>
      <t>월</t>
    </r>
  </si>
  <si>
    <r>
      <rPr>
        <b/>
        <sz val="9"/>
        <color rgb="FF085041"/>
        <rFont val="Arial"/>
        <family val="2"/>
      </rPr>
      <t>5</t>
    </r>
    <r>
      <rPr>
        <b/>
        <sz val="9"/>
        <color rgb="FF085041"/>
        <rFont val="Noto Sans CJK SC"/>
        <family val="2"/>
      </rPr>
      <t>월</t>
    </r>
  </si>
  <si>
    <r>
      <rPr>
        <b/>
        <sz val="9"/>
        <color rgb="FF085041"/>
        <rFont val="Arial"/>
        <family val="2"/>
      </rPr>
      <t>6</t>
    </r>
    <r>
      <rPr>
        <b/>
        <sz val="9"/>
        <color rgb="FF085041"/>
        <rFont val="Noto Sans CJK SC"/>
        <family val="2"/>
      </rPr>
      <t>월</t>
    </r>
  </si>
  <si>
    <r>
      <rPr>
        <b/>
        <sz val="9"/>
        <color rgb="FF085041"/>
        <rFont val="Noto Sans CJK SC"/>
        <family val="2"/>
      </rPr>
      <t>총생산수량</t>
    </r>
    <r>
      <rPr>
        <b/>
        <sz val="9"/>
        <color rgb="FF085041"/>
        <rFont val="Arial"/>
        <family val="2"/>
      </rPr>
      <t>(</t>
    </r>
    <r>
      <rPr>
        <b/>
        <sz val="9"/>
        <color rgb="FF085041"/>
        <rFont val="Noto Sans CJK SC"/>
        <family val="2"/>
      </rPr>
      <t>㎥</t>
    </r>
    <r>
      <rPr>
        <b/>
        <sz val="9"/>
        <color rgb="FF085041"/>
        <rFont val="Arial"/>
        <family val="2"/>
      </rPr>
      <t>)</t>
    </r>
  </si>
  <si>
    <r>
      <rPr>
        <b/>
        <sz val="9"/>
        <color rgb="FF085041"/>
        <rFont val="Noto Sans CJK SC"/>
        <family val="2"/>
      </rPr>
      <t>총급수수량</t>
    </r>
    <r>
      <rPr>
        <b/>
        <sz val="9"/>
        <color rgb="FF085041"/>
        <rFont val="Arial"/>
        <family val="2"/>
      </rPr>
      <t>(</t>
    </r>
    <r>
      <rPr>
        <b/>
        <sz val="9"/>
        <color rgb="FF085041"/>
        <rFont val="Noto Sans CJK SC"/>
        <family val="2"/>
      </rPr>
      <t>㎥</t>
    </r>
    <r>
      <rPr>
        <b/>
        <sz val="9"/>
        <color rgb="FF085041"/>
        <rFont val="Arial"/>
        <family val="2"/>
      </rPr>
      <t>)</t>
    </r>
  </si>
  <si>
    <r>
      <rPr>
        <b/>
        <sz val="9"/>
        <color rgb="FF085041"/>
        <rFont val="Noto Sans CJK SC"/>
        <family val="2"/>
      </rPr>
      <t>누수량</t>
    </r>
    <r>
      <rPr>
        <b/>
        <sz val="9"/>
        <color rgb="FF085041"/>
        <rFont val="Arial"/>
        <family val="2"/>
      </rPr>
      <t>(</t>
    </r>
    <r>
      <rPr>
        <b/>
        <sz val="9"/>
        <color rgb="FF085041"/>
        <rFont val="Noto Sans CJK SC"/>
        <family val="2"/>
      </rPr>
      <t>㎥</t>
    </r>
    <r>
      <rPr>
        <b/>
        <sz val="9"/>
        <color rgb="FF085041"/>
        <rFont val="Arial"/>
        <family val="2"/>
      </rPr>
      <t>)</t>
    </r>
  </si>
  <si>
    <r>
      <rPr>
        <b/>
        <sz val="9"/>
        <color rgb="FF085041"/>
        <rFont val="Noto Sans CJK SC"/>
        <family val="2"/>
      </rPr>
      <t>유수율</t>
    </r>
    <r>
      <rPr>
        <b/>
        <sz val="9"/>
        <color rgb="FF085041"/>
        <rFont val="Arial"/>
        <family val="2"/>
      </rPr>
      <t>(%)</t>
    </r>
  </si>
  <si>
    <r>
      <rPr>
        <b/>
        <sz val="9"/>
        <color rgb="FF085041"/>
        <rFont val="Noto Sans CJK SC"/>
        <family val="2"/>
      </rPr>
      <t>누수건수</t>
    </r>
    <r>
      <rPr>
        <b/>
        <sz val="9"/>
        <color rgb="FF085041"/>
        <rFont val="Arial"/>
        <family val="2"/>
      </rPr>
      <t>(</t>
    </r>
    <r>
      <rPr>
        <b/>
        <sz val="9"/>
        <color rgb="FF085041"/>
        <rFont val="Noto Sans CJK SC"/>
        <family val="2"/>
      </rPr>
      <t>건</t>
    </r>
    <r>
      <rPr>
        <b/>
        <sz val="9"/>
        <color rgb="FF085041"/>
        <rFont val="Arial"/>
        <family val="2"/>
      </rPr>
      <t>)</t>
    </r>
  </si>
  <si>
    <r>
      <rPr>
        <b/>
        <sz val="11"/>
        <color rgb="FFFFFFFF"/>
        <rFont val="Noto Sans CJK SC"/>
        <family val="2"/>
      </rPr>
      <t xml:space="preserve">  💰 월별 요금수입 현황 </t>
    </r>
    <r>
      <rPr>
        <b/>
        <sz val="11"/>
        <color rgb="FFFFFFFF"/>
        <rFont val="Arial"/>
        <family val="2"/>
      </rPr>
      <t>(④</t>
    </r>
    <r>
      <rPr>
        <b/>
        <sz val="11"/>
        <color rgb="FFFFFFFF"/>
        <rFont val="Noto Sans CJK SC"/>
        <family val="2"/>
      </rPr>
      <t>요금수입 연동</t>
    </r>
    <r>
      <rPr>
        <b/>
        <sz val="11"/>
        <color rgb="FFFFFFFF"/>
        <rFont val="Arial"/>
        <family val="2"/>
      </rPr>
      <t>)</t>
    </r>
  </si>
  <si>
    <r>
      <rPr>
        <b/>
        <sz val="9"/>
        <color rgb="FF7D3C98"/>
        <rFont val="Arial"/>
        <family val="2"/>
      </rPr>
      <t>1</t>
    </r>
    <r>
      <rPr>
        <b/>
        <sz val="9"/>
        <color rgb="FF7D3C98"/>
        <rFont val="Noto Sans CJK SC"/>
        <family val="2"/>
      </rPr>
      <t>월</t>
    </r>
  </si>
  <si>
    <r>
      <rPr>
        <b/>
        <sz val="9"/>
        <color rgb="FF7D3C98"/>
        <rFont val="Arial"/>
        <family val="2"/>
      </rPr>
      <t>2</t>
    </r>
    <r>
      <rPr>
        <b/>
        <sz val="9"/>
        <color rgb="FF7D3C98"/>
        <rFont val="Noto Sans CJK SC"/>
        <family val="2"/>
      </rPr>
      <t>월</t>
    </r>
  </si>
  <si>
    <r>
      <rPr>
        <b/>
        <sz val="9"/>
        <color rgb="FF7D3C98"/>
        <rFont val="Arial"/>
        <family val="2"/>
      </rPr>
      <t>3</t>
    </r>
    <r>
      <rPr>
        <b/>
        <sz val="9"/>
        <color rgb="FF7D3C98"/>
        <rFont val="Noto Sans CJK SC"/>
        <family val="2"/>
      </rPr>
      <t>월</t>
    </r>
  </si>
  <si>
    <r>
      <rPr>
        <b/>
        <sz val="9"/>
        <color rgb="FF7D3C98"/>
        <rFont val="Arial"/>
        <family val="2"/>
      </rPr>
      <t>4</t>
    </r>
    <r>
      <rPr>
        <b/>
        <sz val="9"/>
        <color rgb="FF7D3C98"/>
        <rFont val="Noto Sans CJK SC"/>
        <family val="2"/>
      </rPr>
      <t>월</t>
    </r>
  </si>
  <si>
    <r>
      <rPr>
        <b/>
        <sz val="9"/>
        <color rgb="FF7D3C98"/>
        <rFont val="Arial"/>
        <family val="2"/>
      </rPr>
      <t>5</t>
    </r>
    <r>
      <rPr>
        <b/>
        <sz val="9"/>
        <color rgb="FF7D3C98"/>
        <rFont val="Noto Sans CJK SC"/>
        <family val="2"/>
      </rPr>
      <t>월</t>
    </r>
  </si>
  <si>
    <r>
      <rPr>
        <b/>
        <sz val="9"/>
        <color rgb="FF7D3C98"/>
        <rFont val="Arial"/>
        <family val="2"/>
      </rPr>
      <t>6</t>
    </r>
    <r>
      <rPr>
        <b/>
        <sz val="9"/>
        <color rgb="FF7D3C98"/>
        <rFont val="Noto Sans CJK SC"/>
        <family val="2"/>
      </rPr>
      <t>월</t>
    </r>
  </si>
  <si>
    <t>상반기합계</t>
  </si>
  <si>
    <r>
      <rPr>
        <b/>
        <sz val="9"/>
        <color rgb="FF7D3C98"/>
        <rFont val="Noto Sans CJK SC"/>
        <family val="2"/>
      </rPr>
      <t>고지금액</t>
    </r>
    <r>
      <rPr>
        <b/>
        <sz val="9"/>
        <color rgb="FF7D3C98"/>
        <rFont val="Arial"/>
        <family val="2"/>
      </rPr>
      <t>(</t>
    </r>
    <r>
      <rPr>
        <b/>
        <sz val="9"/>
        <color rgb="FF7D3C98"/>
        <rFont val="Noto Sans CJK SC"/>
        <family val="2"/>
      </rPr>
      <t>원</t>
    </r>
    <r>
      <rPr>
        <b/>
        <sz val="9"/>
        <color rgb="FF7D3C98"/>
        <rFont val="Arial"/>
        <family val="2"/>
      </rPr>
      <t>)</t>
    </r>
  </si>
  <si>
    <r>
      <rPr>
        <b/>
        <sz val="9"/>
        <color rgb="FF7D3C98"/>
        <rFont val="Noto Sans CJK SC"/>
        <family val="2"/>
      </rPr>
      <t>수납금액</t>
    </r>
    <r>
      <rPr>
        <b/>
        <sz val="9"/>
        <color rgb="FF7D3C98"/>
        <rFont val="Arial"/>
        <family val="2"/>
      </rPr>
      <t>(</t>
    </r>
    <r>
      <rPr>
        <b/>
        <sz val="9"/>
        <color rgb="FF7D3C98"/>
        <rFont val="Noto Sans CJK SC"/>
        <family val="2"/>
      </rPr>
      <t>원</t>
    </r>
    <r>
      <rPr>
        <b/>
        <sz val="9"/>
        <color rgb="FF7D3C98"/>
        <rFont val="Arial"/>
        <family val="2"/>
      </rPr>
      <t>)</t>
    </r>
  </si>
  <si>
    <r>
      <rPr>
        <b/>
        <sz val="9"/>
        <color rgb="FF7D3C98"/>
        <rFont val="Noto Sans CJK SC"/>
        <family val="2"/>
      </rPr>
      <t>수납율</t>
    </r>
    <r>
      <rPr>
        <b/>
        <sz val="9"/>
        <color rgb="FF7D3C98"/>
        <rFont val="Arial"/>
        <family val="2"/>
      </rPr>
      <t>(%)</t>
    </r>
  </si>
  <si>
    <r>
      <rPr>
        <b/>
        <sz val="9"/>
        <color rgb="FF7D3C98"/>
        <rFont val="Noto Sans CJK SC"/>
        <family val="2"/>
      </rPr>
      <t>체납금액</t>
    </r>
    <r>
      <rPr>
        <b/>
        <sz val="9"/>
        <color rgb="FF7D3C98"/>
        <rFont val="Arial"/>
        <family val="2"/>
      </rPr>
      <t>(</t>
    </r>
    <r>
      <rPr>
        <b/>
        <sz val="9"/>
        <color rgb="FF7D3C98"/>
        <rFont val="Noto Sans CJK SC"/>
        <family val="2"/>
      </rPr>
      <t>원</t>
    </r>
    <r>
      <rPr>
        <b/>
        <sz val="9"/>
        <color rgb="FF7D3C98"/>
        <rFont val="Arial"/>
        <family val="2"/>
      </rPr>
      <t>)</t>
    </r>
  </si>
  <si>
    <r>
      <rPr>
        <b/>
        <sz val="9"/>
        <color rgb="FF7D3C98"/>
        <rFont val="Noto Sans CJK SC"/>
        <family val="2"/>
      </rPr>
      <t>체납건수</t>
    </r>
    <r>
      <rPr>
        <b/>
        <sz val="9"/>
        <color rgb="FF7D3C98"/>
        <rFont val="Arial"/>
        <family val="2"/>
      </rPr>
      <t>(</t>
    </r>
    <r>
      <rPr>
        <b/>
        <sz val="9"/>
        <color rgb="FF7D3C98"/>
        <rFont val="Noto Sans CJK SC"/>
        <family val="2"/>
      </rPr>
      <t>건</t>
    </r>
    <r>
      <rPr>
        <b/>
        <sz val="9"/>
        <color rgb="FF7D3C98"/>
        <rFont val="Arial"/>
        <family val="2"/>
      </rPr>
      <t>)</t>
    </r>
  </si>
  <si>
    <r>
      <rPr>
        <b/>
        <sz val="11"/>
        <color rgb="FFFFFFFF"/>
        <rFont val="Noto Sans CJK SC"/>
        <family val="2"/>
      </rPr>
      <t xml:space="preserve">  📞 월별 민원 현황 </t>
    </r>
    <r>
      <rPr>
        <b/>
        <sz val="11"/>
        <color rgb="FFFFFFFF"/>
        <rFont val="Arial"/>
        <family val="2"/>
      </rPr>
      <t>(⑤</t>
    </r>
    <r>
      <rPr>
        <b/>
        <sz val="11"/>
        <color rgb="FFFFFFFF"/>
        <rFont val="Noto Sans CJK SC"/>
        <family val="2"/>
      </rPr>
      <t>민원관리 연동</t>
    </r>
    <r>
      <rPr>
        <b/>
        <sz val="11"/>
        <color rgb="FFFFFFFF"/>
        <rFont val="Arial"/>
        <family val="2"/>
      </rPr>
      <t>)</t>
    </r>
  </si>
  <si>
    <r>
      <rPr>
        <b/>
        <sz val="9"/>
        <color rgb="FFE74C3C"/>
        <rFont val="Arial"/>
        <family val="2"/>
      </rPr>
      <t>1</t>
    </r>
    <r>
      <rPr>
        <b/>
        <sz val="9"/>
        <color rgb="FFE74C3C"/>
        <rFont val="Noto Sans CJK SC"/>
        <family val="2"/>
      </rPr>
      <t>월</t>
    </r>
  </si>
  <si>
    <r>
      <rPr>
        <b/>
        <sz val="9"/>
        <color rgb="FFE74C3C"/>
        <rFont val="Arial"/>
        <family val="2"/>
      </rPr>
      <t>2</t>
    </r>
    <r>
      <rPr>
        <b/>
        <sz val="9"/>
        <color rgb="FFE74C3C"/>
        <rFont val="Noto Sans CJK SC"/>
        <family val="2"/>
      </rPr>
      <t>월</t>
    </r>
  </si>
  <si>
    <r>
      <rPr>
        <b/>
        <sz val="9"/>
        <color rgb="FFE74C3C"/>
        <rFont val="Arial"/>
        <family val="2"/>
      </rPr>
      <t>3</t>
    </r>
    <r>
      <rPr>
        <b/>
        <sz val="9"/>
        <color rgb="FFE74C3C"/>
        <rFont val="Noto Sans CJK SC"/>
        <family val="2"/>
      </rPr>
      <t>월</t>
    </r>
  </si>
  <si>
    <r>
      <rPr>
        <b/>
        <sz val="9"/>
        <color rgb="FFE74C3C"/>
        <rFont val="Arial"/>
        <family val="2"/>
      </rPr>
      <t>4</t>
    </r>
    <r>
      <rPr>
        <b/>
        <sz val="9"/>
        <color rgb="FFE74C3C"/>
        <rFont val="Noto Sans CJK SC"/>
        <family val="2"/>
      </rPr>
      <t>월</t>
    </r>
  </si>
  <si>
    <r>
      <rPr>
        <b/>
        <sz val="9"/>
        <color rgb="FFE74C3C"/>
        <rFont val="Arial"/>
        <family val="2"/>
      </rPr>
      <t>5</t>
    </r>
    <r>
      <rPr>
        <b/>
        <sz val="9"/>
        <color rgb="FFE74C3C"/>
        <rFont val="Noto Sans CJK SC"/>
        <family val="2"/>
      </rPr>
      <t>월</t>
    </r>
  </si>
  <si>
    <r>
      <rPr>
        <b/>
        <sz val="9"/>
        <color rgb="FFE74C3C"/>
        <rFont val="Arial"/>
        <family val="2"/>
      </rPr>
      <t>6</t>
    </r>
    <r>
      <rPr>
        <b/>
        <sz val="9"/>
        <color rgb="FFE74C3C"/>
        <rFont val="Noto Sans CJK SC"/>
        <family val="2"/>
      </rPr>
      <t>월</t>
    </r>
  </si>
  <si>
    <t>합계</t>
  </si>
  <si>
    <t>수도누수신고</t>
  </si>
  <si>
    <t>요금이의신청</t>
  </si>
  <si>
    <t>수압불량</t>
  </si>
  <si>
    <t>단수불편</t>
  </si>
  <si>
    <t>기타불편</t>
  </si>
  <si>
    <t>총 합계</t>
  </si>
  <si>
    <r>
      <rPr>
        <b/>
        <sz val="11"/>
        <color rgb="FFFFFFFF"/>
        <rFont val="Noto Sans CJK SC"/>
        <family val="2"/>
      </rPr>
      <t xml:space="preserve">  📋 월별 예산집행 현황 </t>
    </r>
    <r>
      <rPr>
        <b/>
        <sz val="11"/>
        <color rgb="FFFFFFFF"/>
        <rFont val="Arial"/>
        <family val="2"/>
      </rPr>
      <t>(⑦</t>
    </r>
    <r>
      <rPr>
        <b/>
        <sz val="11"/>
        <color rgb="FFFFFFFF"/>
        <rFont val="Noto Sans CJK SC"/>
        <family val="2"/>
      </rPr>
      <t>예산집행 연동</t>
    </r>
    <r>
      <rPr>
        <b/>
        <sz val="11"/>
        <color rgb="FFFFFFFF"/>
        <rFont val="Arial"/>
        <family val="2"/>
      </rPr>
      <t>)</t>
    </r>
  </si>
  <si>
    <t>예산항목</t>
  </si>
  <si>
    <r>
      <rPr>
        <b/>
        <sz val="9"/>
        <color rgb="FF2C3E50"/>
        <rFont val="Arial"/>
        <family val="2"/>
      </rPr>
      <t>1</t>
    </r>
    <r>
      <rPr>
        <b/>
        <sz val="9"/>
        <color rgb="FF2C3E50"/>
        <rFont val="Noto Sans CJK SC"/>
        <family val="2"/>
      </rPr>
      <t>월</t>
    </r>
  </si>
  <si>
    <r>
      <rPr>
        <b/>
        <sz val="9"/>
        <color rgb="FF2C3E50"/>
        <rFont val="Arial"/>
        <family val="2"/>
      </rPr>
      <t>2</t>
    </r>
    <r>
      <rPr>
        <b/>
        <sz val="9"/>
        <color rgb="FF2C3E50"/>
        <rFont val="Noto Sans CJK SC"/>
        <family val="2"/>
      </rPr>
      <t>월</t>
    </r>
  </si>
  <si>
    <r>
      <rPr>
        <b/>
        <sz val="9"/>
        <color rgb="FF2C3E50"/>
        <rFont val="Arial"/>
        <family val="2"/>
      </rPr>
      <t>3</t>
    </r>
    <r>
      <rPr>
        <b/>
        <sz val="9"/>
        <color rgb="FF2C3E50"/>
        <rFont val="Noto Sans CJK SC"/>
        <family val="2"/>
      </rPr>
      <t>월</t>
    </r>
  </si>
  <si>
    <r>
      <rPr>
        <b/>
        <sz val="9"/>
        <color rgb="FF2C3E50"/>
        <rFont val="Arial"/>
        <family val="2"/>
      </rPr>
      <t>4</t>
    </r>
    <r>
      <rPr>
        <b/>
        <sz val="9"/>
        <color rgb="FF2C3E50"/>
        <rFont val="Noto Sans CJK SC"/>
        <family val="2"/>
      </rPr>
      <t>월</t>
    </r>
  </si>
  <si>
    <r>
      <rPr>
        <b/>
        <sz val="9"/>
        <color rgb="FF2C3E50"/>
        <rFont val="Arial"/>
        <family val="2"/>
      </rPr>
      <t>5</t>
    </r>
    <r>
      <rPr>
        <b/>
        <sz val="9"/>
        <color rgb="FF2C3E50"/>
        <rFont val="Noto Sans CJK SC"/>
        <family val="2"/>
      </rPr>
      <t>월</t>
    </r>
  </si>
  <si>
    <r>
      <rPr>
        <b/>
        <sz val="9"/>
        <color rgb="FF2C3E50"/>
        <rFont val="Arial"/>
        <family val="2"/>
      </rPr>
      <t>6</t>
    </r>
    <r>
      <rPr>
        <b/>
        <sz val="9"/>
        <color rgb="FF2C3E50"/>
        <rFont val="Noto Sans CJK SC"/>
        <family val="2"/>
      </rPr>
      <t>월</t>
    </r>
  </si>
  <si>
    <t>인건비</t>
  </si>
  <si>
    <t>운영비</t>
  </si>
  <si>
    <t>시설유지보수</t>
  </si>
  <si>
    <t>약품비</t>
  </si>
  <si>
    <r>
      <rPr>
        <b/>
        <sz val="11"/>
        <color rgb="FFFFFFFF"/>
        <rFont val="Noto Sans CJK SC"/>
        <family val="2"/>
      </rPr>
      <t xml:space="preserve">  🔧 시설물 점검 요약  </t>
    </r>
    <r>
      <rPr>
        <b/>
        <sz val="11"/>
        <color rgb="FFFFFFFF"/>
        <rFont val="Arial"/>
        <family val="2"/>
      </rPr>
      <t xml:space="preserve">|  🔬 </t>
    </r>
    <r>
      <rPr>
        <b/>
        <sz val="11"/>
        <color rgb="FFFFFFFF"/>
        <rFont val="Noto Sans CJK SC"/>
        <family val="2"/>
      </rPr>
      <t>수질검사 현황</t>
    </r>
  </si>
  <si>
    <t>총 점검 건수</t>
  </si>
  <si>
    <t>이상 발견 건수</t>
  </si>
  <si>
    <t>조치 완료 건수</t>
  </si>
  <si>
    <t>수질검사 적합율</t>
  </si>
  <si>
    <t xml:space="preserve">  💧 급수량 관리대장</t>
  </si>
  <si>
    <r>
      <rPr>
        <i/>
        <sz val="10"/>
        <color rgb="FFD6EAF8"/>
        <rFont val="Noto Sans CJK SC"/>
        <family val="2"/>
      </rPr>
      <t xml:space="preserve">  ○○시 상수도사업소 </t>
    </r>
    <r>
      <rPr>
        <i/>
        <sz val="10"/>
        <color rgb="FFD6EAF8"/>
        <rFont val="Arial"/>
        <family val="2"/>
      </rPr>
      <t>| 2025</t>
    </r>
    <r>
      <rPr>
        <i/>
        <sz val="10"/>
        <color rgb="FFD6EAF8"/>
        <rFont val="Noto Sans CJK SC"/>
        <family val="2"/>
      </rPr>
      <t xml:space="preserve">년 </t>
    </r>
    <r>
      <rPr>
        <i/>
        <sz val="10"/>
        <color rgb="FFD6EAF8"/>
        <rFont val="Arial"/>
        <family val="2"/>
      </rPr>
      <t>1</t>
    </r>
    <r>
      <rPr>
        <i/>
        <sz val="10"/>
        <color rgb="FFD6EAF8"/>
        <rFont val="Noto Sans CJK SC"/>
        <family val="2"/>
      </rPr>
      <t>월</t>
    </r>
    <r>
      <rPr>
        <i/>
        <sz val="10"/>
        <color rgb="FFD6EAF8"/>
        <rFont val="Arial"/>
        <family val="2"/>
      </rPr>
      <t>~6</t>
    </r>
    <r>
      <rPr>
        <i/>
        <sz val="10"/>
        <color rgb="FFD6EAF8"/>
        <rFont val="Noto Sans CJK SC"/>
        <family val="2"/>
      </rPr>
      <t>월</t>
    </r>
  </si>
  <si>
    <t>연월</t>
  </si>
  <si>
    <t>구역코드</t>
  </si>
  <si>
    <t>구역명</t>
  </si>
  <si>
    <r>
      <rPr>
        <b/>
        <sz val="9"/>
        <color rgb="FFFFFFFF"/>
        <rFont val="Noto Sans CJK SC"/>
        <family val="2"/>
      </rPr>
      <t>계획급수량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㎥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</si>
  <si>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실제급수량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㎥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</si>
  <si>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달성률</t>
    </r>
    <r>
      <rPr>
        <b/>
        <sz val="9"/>
        <color rgb="FFFFFFFF"/>
        <rFont val="Arial"/>
        <family val="2"/>
      </rPr>
      <t>(%)</t>
    </r>
  </si>
  <si>
    <r>
      <rPr>
        <b/>
        <sz val="9"/>
        <color rgb="FFFFFFFF"/>
        <rFont val="Noto Sans CJK SC"/>
        <family val="2"/>
      </rPr>
      <t>전월대비증감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㎥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</si>
  <si>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증감률</t>
    </r>
    <r>
      <rPr>
        <b/>
        <sz val="9"/>
        <color rgb="FFFFFFFF"/>
        <rFont val="Arial"/>
        <family val="2"/>
      </rPr>
      <t>(%)</t>
    </r>
  </si>
  <si>
    <r>
      <rPr>
        <b/>
        <sz val="9"/>
        <color rgb="FFFFFFFF"/>
        <rFont val="Noto Sans CJK SC"/>
        <family val="2"/>
      </rPr>
      <t>누계급수량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㎥</t>
    </r>
    <r>
      <rPr>
        <b/>
        <sz val="9"/>
        <color rgb="FFFFFFFF"/>
        <rFont val="Arial"/>
        <family val="2"/>
      </rPr>
      <t>)</t>
    </r>
  </si>
  <si>
    <t>비고</t>
  </si>
  <si>
    <t>2025-01</t>
  </si>
  <si>
    <t>A-01</t>
  </si>
  <si>
    <t>동절기 감소</t>
  </si>
  <si>
    <t>A-02</t>
  </si>
  <si>
    <t>A-03</t>
  </si>
  <si>
    <t>A-04</t>
  </si>
  <si>
    <t>A-05</t>
  </si>
  <si>
    <t>신규 배관</t>
  </si>
  <si>
    <t>2025-02</t>
  </si>
  <si>
    <t>2025-03</t>
  </si>
  <si>
    <t>2025-04</t>
  </si>
  <si>
    <t>2025-05</t>
  </si>
  <si>
    <t>하절기 시작</t>
  </si>
  <si>
    <t>2025-06</t>
  </si>
  <si>
    <t>하절기 증가</t>
  </si>
  <si>
    <t xml:space="preserve">  🔬 수질검사 결과 관리대장</t>
  </si>
  <si>
    <t>검사일</t>
  </si>
  <si>
    <t>검사지점</t>
  </si>
  <si>
    <r>
      <rPr>
        <b/>
        <sz val="9"/>
        <color rgb="FFFFFFFF"/>
        <rFont val="Noto Sans CJK SC"/>
        <family val="2"/>
      </rPr>
      <t>잔류염소</t>
    </r>
    <r>
      <rPr>
        <b/>
        <sz val="9"/>
        <color rgb="FFFFFFFF"/>
        <rFont val="Arial"/>
        <family val="2"/>
      </rPr>
      <t>(mg/L)</t>
    </r>
  </si>
  <si>
    <t>pH</t>
  </si>
  <si>
    <r>
      <rPr>
        <b/>
        <sz val="9"/>
        <color rgb="FFFFFFFF"/>
        <rFont val="Noto Sans CJK SC"/>
        <family val="2"/>
      </rPr>
      <t>탁도</t>
    </r>
    <r>
      <rPr>
        <b/>
        <sz val="9"/>
        <color rgb="FFFFFFFF"/>
        <rFont val="Arial"/>
        <family val="2"/>
      </rPr>
      <t>(NTU)</t>
    </r>
  </si>
  <si>
    <r>
      <rPr>
        <b/>
        <sz val="9"/>
        <color rgb="FFFFFFFF"/>
        <rFont val="Noto Sans CJK SC"/>
        <family val="2"/>
      </rPr>
      <t>색도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도</t>
    </r>
    <r>
      <rPr>
        <b/>
        <sz val="9"/>
        <color rgb="FFFFFFFF"/>
        <rFont val="Arial"/>
        <family val="2"/>
      </rPr>
      <t>)</t>
    </r>
  </si>
  <si>
    <t>총대장균군</t>
  </si>
  <si>
    <r>
      <rPr>
        <b/>
        <sz val="9"/>
        <color rgb="FFFFFFFF"/>
        <rFont val="Noto Sans CJK SC"/>
        <family val="2"/>
      </rPr>
      <t>일반세균</t>
    </r>
    <r>
      <rPr>
        <b/>
        <sz val="9"/>
        <color rgb="FFFFFFFF"/>
        <rFont val="Arial"/>
        <family val="2"/>
      </rPr>
      <t>(CFU/ml)</t>
    </r>
  </si>
  <si>
    <t>냄새</t>
  </si>
  <si>
    <t>맛</t>
  </si>
  <si>
    <t>판정</t>
  </si>
  <si>
    <t>2025-01-08</t>
  </si>
  <si>
    <t>정수장</t>
  </si>
  <si>
    <t>0.52</t>
  </si>
  <si>
    <t>7.2</t>
  </si>
  <si>
    <t>0.12</t>
  </si>
  <si>
    <t>1</t>
  </si>
  <si>
    <t>불검출</t>
  </si>
  <si>
    <t>0</t>
  </si>
  <si>
    <t>이상없음</t>
  </si>
  <si>
    <t>적합</t>
  </si>
  <si>
    <t>중앙구 배수지</t>
  </si>
  <si>
    <t>0.38</t>
  </si>
  <si>
    <t>7.1</t>
  </si>
  <si>
    <t>0.18</t>
  </si>
  <si>
    <t>동부구 말단</t>
  </si>
  <si>
    <t>0.21</t>
  </si>
  <si>
    <t>7.0</t>
  </si>
  <si>
    <t>0.25</t>
  </si>
  <si>
    <t>2</t>
  </si>
  <si>
    <t>2025-02-12</t>
  </si>
  <si>
    <t>0.55</t>
  </si>
  <si>
    <t>7.3</t>
  </si>
  <si>
    <t>0.10</t>
  </si>
  <si>
    <t>0.40</t>
  </si>
  <si>
    <t>0.15</t>
  </si>
  <si>
    <t>서부구 말단</t>
  </si>
  <si>
    <t>0.19</t>
  </si>
  <si>
    <t>6.9</t>
  </si>
  <si>
    <t>0.31</t>
  </si>
  <si>
    <t>말단 염소 낮음</t>
  </si>
  <si>
    <t>2025-03-10</t>
  </si>
  <si>
    <t>0.58</t>
  </si>
  <si>
    <t>7.4</t>
  </si>
  <si>
    <t>0.08</t>
  </si>
  <si>
    <t>0.42</t>
  </si>
  <si>
    <t>0.14</t>
  </si>
  <si>
    <t>남부구 말단</t>
  </si>
  <si>
    <t>0.22</t>
  </si>
  <si>
    <t>2025-04-09</t>
  </si>
  <si>
    <t>0.60</t>
  </si>
  <si>
    <t>7.5</t>
  </si>
  <si>
    <t>0.07</t>
  </si>
  <si>
    <t>0.45</t>
  </si>
  <si>
    <t>북부구 말단</t>
  </si>
  <si>
    <t>0.28</t>
  </si>
  <si>
    <t>0.20</t>
  </si>
  <si>
    <t>2025-05-14</t>
  </si>
  <si>
    <t>0.62</t>
  </si>
  <si>
    <t>0.06</t>
  </si>
  <si>
    <t>동부구 배수지</t>
  </si>
  <si>
    <t>0.41</t>
  </si>
  <si>
    <t>0.17</t>
  </si>
  <si>
    <t>2025-06-11</t>
  </si>
  <si>
    <t>0.65</t>
  </si>
  <si>
    <t>7.6</t>
  </si>
  <si>
    <t>0.05</t>
  </si>
  <si>
    <t>하절기 관리강화</t>
  </si>
  <si>
    <t>0.48</t>
  </si>
  <si>
    <t>0.13</t>
  </si>
  <si>
    <t>0.30</t>
  </si>
  <si>
    <t xml:space="preserve">  📊 누수 및 유수율 관리대장</t>
  </si>
  <si>
    <r>
      <rPr>
        <b/>
        <sz val="9"/>
        <color rgb="FFFFFFFF"/>
        <rFont val="Noto Sans CJK SC"/>
        <family val="2"/>
      </rPr>
      <t>총생산수량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㎥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</si>
  <si>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총급수수량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㎥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</si>
  <si>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누수량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㎥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</si>
  <si>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유수율</t>
    </r>
    <r>
      <rPr>
        <b/>
        <sz val="9"/>
        <color rgb="FFFFFFFF"/>
        <rFont val="Arial"/>
        <family val="2"/>
      </rPr>
      <t>(%)</t>
    </r>
  </si>
  <si>
    <r>
      <rPr>
        <b/>
        <sz val="9"/>
        <color rgb="FFFFFFFF"/>
        <rFont val="Noto Sans CJK SC"/>
        <family val="2"/>
      </rPr>
      <t>무수율</t>
    </r>
    <r>
      <rPr>
        <b/>
        <sz val="9"/>
        <color rgb="FFFFFFFF"/>
        <rFont val="Arial"/>
        <family val="2"/>
      </rPr>
      <t>(%)</t>
    </r>
  </si>
  <si>
    <r>
      <rPr>
        <b/>
        <sz val="9"/>
        <color rgb="FFFFFFFF"/>
        <rFont val="Noto Sans CJK SC"/>
        <family val="2"/>
      </rPr>
      <t>누수건수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건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</si>
  <si>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긴급복구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건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</si>
  <si>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복구완료율</t>
    </r>
    <r>
      <rPr>
        <b/>
        <sz val="9"/>
        <color rgb="FFFFFFFF"/>
        <rFont val="Arial"/>
        <family val="2"/>
      </rPr>
      <t>(%)</t>
    </r>
  </si>
  <si>
    <r>
      <rPr>
        <b/>
        <sz val="9"/>
        <color rgb="FFFFFFFF"/>
        <rFont val="Noto Sans CJK SC"/>
        <family val="2"/>
      </rPr>
      <t>목표유수율</t>
    </r>
    <r>
      <rPr>
        <b/>
        <sz val="9"/>
        <color rgb="FFFFFFFF"/>
        <rFont val="Arial"/>
        <family val="2"/>
      </rPr>
      <t>(%)</t>
    </r>
  </si>
  <si>
    <t>달성여부</t>
  </si>
  <si>
    <t>동절기 누수 많음</t>
  </si>
  <si>
    <t xml:space="preserve">  💰 요금수입 관리대장</t>
  </si>
  <si>
    <r>
      <rPr>
        <b/>
        <sz val="9"/>
        <color rgb="FFFFFFFF"/>
        <rFont val="Noto Sans CJK SC"/>
        <family val="2"/>
      </rPr>
      <t>고지금액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원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</si>
  <si>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수납금액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원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</si>
  <si>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수납율</t>
    </r>
    <r>
      <rPr>
        <b/>
        <sz val="9"/>
        <color rgb="FFFFFFFF"/>
        <rFont val="Arial"/>
        <family val="2"/>
      </rPr>
      <t>(%)</t>
    </r>
  </si>
  <si>
    <r>
      <rPr>
        <b/>
        <sz val="9"/>
        <color rgb="FFFFFFFF"/>
        <rFont val="Noto Sans CJK SC"/>
        <family val="2"/>
      </rPr>
      <t>체납금액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원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</si>
  <si>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체납건수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건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</si>
  <si>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전월체납이월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원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</si>
  <si>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당월체납합계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원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</si>
  <si>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징수율</t>
    </r>
    <r>
      <rPr>
        <b/>
        <sz val="9"/>
        <color rgb="FFFFFFFF"/>
        <rFont val="Arial"/>
        <family val="2"/>
      </rPr>
      <t>(%)</t>
    </r>
  </si>
  <si>
    <r>
      <rPr>
        <b/>
        <sz val="9"/>
        <color rgb="FFFFFFFF"/>
        <rFont val="Noto Sans CJK SC"/>
        <family val="2"/>
      </rPr>
      <t>면제</t>
    </r>
    <r>
      <rPr>
        <b/>
        <sz val="9"/>
        <color rgb="FFFFFFFF"/>
        <rFont val="Arial"/>
        <family val="2"/>
      </rPr>
      <t>·</t>
    </r>
    <r>
      <rPr>
        <b/>
        <sz val="9"/>
        <color rgb="FFFFFFFF"/>
        <rFont val="Noto Sans CJK SC"/>
        <family val="2"/>
      </rPr>
      <t>감면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원</t>
    </r>
    <r>
      <rPr>
        <b/>
        <sz val="9"/>
        <color rgb="FFFFFFFF"/>
        <rFont val="Arial"/>
        <family val="2"/>
      </rPr>
      <t>)</t>
    </r>
  </si>
  <si>
    <t>동절기 고지</t>
  </si>
  <si>
    <t>하절기 고지</t>
  </si>
  <si>
    <t xml:space="preserve">  📞 민원 처리 관리대장</t>
  </si>
  <si>
    <t>민원유형</t>
  </si>
  <si>
    <r>
      <rPr>
        <b/>
        <sz val="9"/>
        <color rgb="FFFFFFFF"/>
        <rFont val="Noto Sans CJK SC"/>
        <family val="2"/>
      </rPr>
      <t>접수건수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건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</si>
  <si>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처리완료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건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</si>
  <si>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처리중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건</t>
    </r>
    <r>
      <rPr>
        <b/>
        <sz val="9"/>
        <color rgb="FFFFFFFF"/>
        <rFont val="Arial"/>
        <family val="2"/>
      </rPr>
      <t>)</t>
    </r>
  </si>
  <si>
    <t>평균처리일수</t>
  </si>
  <si>
    <r>
      <rPr>
        <b/>
        <sz val="9"/>
        <color rgb="FFFFFFFF"/>
        <rFont val="Noto Sans CJK SC"/>
        <family val="2"/>
      </rPr>
      <t>기한초과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건</t>
    </r>
    <r>
      <rPr>
        <b/>
        <sz val="9"/>
        <color rgb="FFFFFFFF"/>
        <rFont val="Arial"/>
        <family val="2"/>
      </rPr>
      <t>)</t>
    </r>
  </si>
  <si>
    <t>만족도점수</t>
  </si>
  <si>
    <t>전월대비증감</t>
  </si>
  <si>
    <t>동결로 인한 단수</t>
  </si>
  <si>
    <r>
      <rPr>
        <sz val="9"/>
        <color rgb="FF000000"/>
        <rFont val="Noto Sans CJK SC"/>
        <family val="2"/>
      </rPr>
      <t xml:space="preserve">처리지연 </t>
    </r>
    <r>
      <rPr>
        <sz val="9"/>
        <color rgb="FF000000"/>
        <rFont val="Arial"/>
        <family val="2"/>
      </rPr>
      <t>1</t>
    </r>
    <r>
      <rPr>
        <sz val="9"/>
        <color rgb="FF000000"/>
        <rFont val="Noto Sans CJK SC"/>
        <family val="2"/>
      </rPr>
      <t>건</t>
    </r>
  </si>
  <si>
    <t>하절기 급증</t>
  </si>
  <si>
    <t xml:space="preserve">  🔧 시설물 점검 관리대장</t>
  </si>
  <si>
    <t>점검일</t>
  </si>
  <si>
    <t>시설유형</t>
  </si>
  <si>
    <t>시설명</t>
  </si>
  <si>
    <t>점검항목</t>
  </si>
  <si>
    <t>점검결과</t>
  </si>
  <si>
    <t>이상유무</t>
  </si>
  <si>
    <t>조치사항</t>
  </si>
  <si>
    <t>조치완료일</t>
  </si>
  <si>
    <t>담당자</t>
  </si>
  <si>
    <t>다음점검예정일</t>
  </si>
  <si>
    <t>2025-01-06</t>
  </si>
  <si>
    <t>○○정수장</t>
  </si>
  <si>
    <t>여과지 점검</t>
  </si>
  <si>
    <t>정상</t>
  </si>
  <si>
    <t>해당없음</t>
  </si>
  <si>
    <t>김상수</t>
  </si>
  <si>
    <t>2025-04-07</t>
  </si>
  <si>
    <t>소독설비 점검</t>
  </si>
  <si>
    <t>2025-02-03</t>
  </si>
  <si>
    <t>2025-01-10</t>
  </si>
  <si>
    <t>펌프장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</si>
  <si>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Noto Sans CJK SC"/>
        <family val="2"/>
      </rPr>
      <t>구역 가압장</t>
    </r>
  </si>
  <si>
    <t>펌프 성능시험</t>
  </si>
  <si>
    <t>경미한이상</t>
  </si>
  <si>
    <t>진동 발생</t>
  </si>
  <si>
    <t>베어링 교체</t>
  </si>
  <si>
    <t>2025-01-15</t>
  </si>
  <si>
    <t>이관리</t>
  </si>
  <si>
    <t>2025-04-10</t>
  </si>
  <si>
    <t>베어링 교체 완료</t>
  </si>
  <si>
    <t>배수지</t>
  </si>
  <si>
    <t>중앙 배수지</t>
  </si>
  <si>
    <t>저수량 점검</t>
  </si>
  <si>
    <t>박시설</t>
  </si>
  <si>
    <t>2025-04-15</t>
  </si>
  <si>
    <t>2025-03-03</t>
  </si>
  <si>
    <t>2025-02-10</t>
  </si>
  <si>
    <t>배수관망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</si>
  <si>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Noto Sans CJK SC"/>
        <family val="2"/>
      </rPr>
      <t>구역 배수관</t>
    </r>
  </si>
  <si>
    <t>관망 압력점검</t>
  </si>
  <si>
    <t>2025-05-10</t>
  </si>
  <si>
    <t>2025-04-03</t>
  </si>
  <si>
    <t>2025-03-12</t>
  </si>
  <si>
    <t>동부 배수지</t>
  </si>
  <si>
    <t>누수 여부 점검</t>
  </si>
  <si>
    <t>이상발견</t>
  </si>
  <si>
    <t>균열 발생</t>
  </si>
  <si>
    <t>균열 보수</t>
  </si>
  <si>
    <t>2025-03-20</t>
  </si>
  <si>
    <t>2025-06-12</t>
  </si>
  <si>
    <t>균열 보수 완료</t>
  </si>
  <si>
    <t>2025-05-05</t>
  </si>
  <si>
    <t>2025-07-07</t>
  </si>
  <si>
    <t>2025-07-10</t>
  </si>
  <si>
    <t>2025-06-02</t>
  </si>
  <si>
    <t>2025-05-15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</si>
  <si>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Noto Sans CJK SC"/>
        <family val="2"/>
      </rPr>
      <t>구역 배수관</t>
    </r>
  </si>
  <si>
    <t>압력저하</t>
  </si>
  <si>
    <t>밸브 조정</t>
  </si>
  <si>
    <t>2025-05-16</t>
  </si>
  <si>
    <t>2025-08-15</t>
  </si>
  <si>
    <t>하절기 강화</t>
  </si>
  <si>
    <t>청소 및 점검</t>
  </si>
  <si>
    <t>2025-09-12</t>
  </si>
  <si>
    <r>
      <rPr>
        <sz val="9"/>
        <color rgb="FF000000"/>
        <rFont val="Noto Sans CJK SC"/>
        <family val="2"/>
      </rPr>
      <t xml:space="preserve">연 </t>
    </r>
    <r>
      <rPr>
        <sz val="9"/>
        <color rgb="FF000000"/>
        <rFont val="Arial"/>
        <family val="2"/>
      </rPr>
      <t>2</t>
    </r>
    <r>
      <rPr>
        <sz val="9"/>
        <color rgb="FF000000"/>
        <rFont val="Noto Sans CJK SC"/>
        <family val="2"/>
      </rPr>
      <t>회 청소</t>
    </r>
  </si>
  <si>
    <t xml:space="preserve">  📋 예산 집행 관리대장</t>
  </si>
  <si>
    <r>
      <rPr>
        <b/>
        <sz val="9"/>
        <color rgb="FFFFFFFF"/>
        <rFont val="Noto Sans CJK SC"/>
        <family val="2"/>
      </rPr>
      <t>예산액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원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</si>
  <si>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집행액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원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</si>
  <si>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집행율</t>
    </r>
    <r>
      <rPr>
        <b/>
        <sz val="9"/>
        <color rgb="FFFFFFFF"/>
        <rFont val="Arial"/>
        <family val="2"/>
      </rPr>
      <t>(%)</t>
    </r>
  </si>
  <si>
    <r>
      <rPr>
        <b/>
        <sz val="9"/>
        <color rgb="FFFFFFFF"/>
        <rFont val="Noto Sans CJK SC"/>
        <family val="2"/>
      </rPr>
      <t>잔액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원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</si>
  <si>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전월누계집행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원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</si>
  <si>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누계집행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원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</si>
  <si>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누계집행율</t>
    </r>
    <r>
      <rPr>
        <b/>
        <sz val="9"/>
        <color rgb="FFFFFFFF"/>
        <rFont val="Arial"/>
        <family val="2"/>
      </rPr>
      <t>(%)</t>
    </r>
  </si>
  <si>
    <t>염소 구매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</si>
</sst>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4">
    <font>
      <sz val="11"/>
      <color theme="1"/>
      <name val="Calibri"/>
      <family val="2"/>
      <charset val="1"/>
    </font>
    <font>
      <b/>
      <sz val="18"/>
      <color rgb="FFFFFFFF"/>
      <name val="Noto Sans CJK SC"/>
      <family val="2"/>
    </font>
    <font>
      <i/>
      <sz val="10"/>
      <color rgb="FFFFFFFF"/>
      <name val="Arial"/>
      <family val="2"/>
    </font>
    <font>
      <i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</font>
    <font>
      <b/>
      <sz val="20"/>
      <color rgb="FF2E86C1"/>
      <name val="Arial"/>
      <family val="2"/>
    </font>
    <font>
      <b/>
      <sz val="20"/>
      <color rgb="FF1ABC9C"/>
      <name val="Arial"/>
      <family val="2"/>
    </font>
    <font>
      <b/>
      <sz val="20"/>
      <color rgb="FF7D3C98"/>
      <name val="Arial"/>
      <family val="2"/>
    </font>
    <font>
      <b/>
      <sz val="20"/>
      <color rgb="FFE74C3C"/>
      <name val="Arial"/>
      <family val="2"/>
    </font>
    <font>
      <sz val="9"/>
      <color rgb="FFFFFFFF"/>
      <name val="Noto Sans CJK SC"/>
      <family val="2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b/>
      <sz val="9"/>
      <color rgb="FFFFFFFF"/>
      <name val="Noto Sans CJK SC"/>
      <family val="2"/>
    </font>
    <font>
      <b/>
      <sz val="9"/>
      <color rgb="FF1A3A5C"/>
      <name val="Arial"/>
      <family val="2"/>
    </font>
    <font>
      <b/>
      <sz val="9"/>
      <color rgb="FF1A3A5C"/>
      <name val="Noto Sans CJK SC"/>
      <family val="2"/>
    </font>
    <font>
      <sz val="9"/>
      <color rgb="FF000000"/>
      <name val="Arial"/>
      <family val="2"/>
    </font>
    <font>
      <b/>
      <sz val="9"/>
      <color rgb="FF085041"/>
      <name val="Arial"/>
      <family val="2"/>
    </font>
    <font>
      <b/>
      <sz val="9"/>
      <color rgb="FF085041"/>
      <name val="Noto Sans CJK SC"/>
      <family val="2"/>
    </font>
    <font>
      <b/>
      <sz val="9"/>
      <color rgb="FF7D3C98"/>
      <name val="Arial"/>
      <family val="2"/>
    </font>
    <font>
      <b/>
      <sz val="9"/>
      <color rgb="FF7D3C98"/>
      <name val="Noto Sans CJK SC"/>
      <family val="2"/>
    </font>
    <font>
      <b/>
      <sz val="9"/>
      <color rgb="FFE74C3C"/>
      <name val="Arial"/>
      <family val="2"/>
    </font>
    <font>
      <b/>
      <sz val="9"/>
      <color rgb="FFE74C3C"/>
      <name val="Noto Sans CJK SC"/>
      <family val="2"/>
    </font>
    <font>
      <b/>
      <sz val="9"/>
      <color rgb="FF2C3E50"/>
      <name val="Arial"/>
      <family val="2"/>
    </font>
    <font>
      <b/>
      <sz val="9"/>
      <color rgb="FF2C3E50"/>
      <name val="Noto Sans CJK SC"/>
      <family val="2"/>
    </font>
    <font>
      <b/>
      <sz val="9"/>
      <color rgb="FF27AE60"/>
      <name val="Noto Sans CJK SC"/>
      <family val="2"/>
    </font>
    <font>
      <b/>
      <sz val="11"/>
      <color rgb="FF27AE60"/>
      <name val="Arial"/>
      <family val="2"/>
    </font>
    <font>
      <b/>
      <sz val="16"/>
      <color rgb="FFFFFFFF"/>
      <name val="Noto Sans CJK SC"/>
      <family val="2"/>
    </font>
    <font>
      <i/>
      <sz val="10"/>
      <color rgb="FFD6EAF8"/>
      <name val="Noto Sans CJK SC"/>
      <family val="2"/>
    </font>
    <font>
      <i/>
      <sz val="10"/>
      <color rgb="FFD6EAF8"/>
      <name val="Arial"/>
      <family val="2"/>
    </font>
    <font>
      <b/>
      <sz val="9"/>
      <color rgb="FFFFFFFF"/>
      <name val="Arial"/>
      <family val="2"/>
    </font>
    <font>
      <sz val="9"/>
      <color rgb="FF000000"/>
      <name val="Noto Sans CJK SC"/>
      <family val="2"/>
    </font>
    <font>
      <b/>
      <sz val="9"/>
      <color rgb="FFF39C12"/>
      <name val="Noto Sans CJK SC"/>
      <family val="2"/>
    </font>
    <font>
      <sz val="8"/>
      <name val="돋움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rgb="FF1A3A5C"/>
        <bgColor rgb="FF2C3E50"/>
      </patternFill>
    </fill>
    <fill>
      <patternFill patternType="solid">
        <fgColor rgb="FF2E86C1"/>
        <bgColor rgb="FF008080"/>
      </patternFill>
    </fill>
    <fill>
      <patternFill patternType="solid">
        <fgColor rgb="FF1ABC9C"/>
        <bgColor rgb="FF27AE60"/>
      </patternFill>
    </fill>
    <fill>
      <patternFill patternType="solid">
        <fgColor rgb="FF7D3C98"/>
        <bgColor rgb="FF993366"/>
      </patternFill>
    </fill>
    <fill>
      <patternFill patternType="solid">
        <fgColor rgb="FFE74C3C"/>
        <bgColor rgb="FFFF8080"/>
      </patternFill>
    </fill>
    <fill>
      <patternFill patternType="solid">
        <fgColor rgb="FFF0F4F8"/>
        <bgColor rgb="FFF5EEF8"/>
      </patternFill>
    </fill>
    <fill>
      <patternFill patternType="solid">
        <fgColor rgb="FFD6EAF8"/>
        <bgColor rgb="FFE8EAED"/>
      </patternFill>
    </fill>
    <fill>
      <patternFill patternType="solid">
        <fgColor rgb="FFF8F9FA"/>
        <bgColor rgb="FFF0F4F8"/>
      </patternFill>
    </fill>
    <fill>
      <patternFill patternType="solid">
        <fgColor rgb="FFFFFFFF"/>
        <bgColor rgb="FFF8F9FA"/>
      </patternFill>
    </fill>
    <fill>
      <patternFill patternType="solid">
        <fgColor rgb="FFD5F5E3"/>
        <bgColor rgb="FFD6EAF8"/>
      </patternFill>
    </fill>
    <fill>
      <patternFill patternType="solid">
        <fgColor rgb="FFF5EEF8"/>
        <bgColor rgb="FFF0F4F8"/>
      </patternFill>
    </fill>
    <fill>
      <patternFill patternType="solid">
        <fgColor rgb="FFFDEDEC"/>
        <bgColor rgb="FFF5EEF8"/>
      </patternFill>
    </fill>
    <fill>
      <patternFill patternType="solid">
        <fgColor rgb="FF2C3E50"/>
        <bgColor rgb="FF1A3A5C"/>
      </patternFill>
    </fill>
    <fill>
      <patternFill patternType="solid">
        <fgColor rgb="FFE8EAED"/>
        <bgColor rgb="FFF5EEF8"/>
      </patternFill>
    </fill>
    <fill>
      <patternFill patternType="solid">
        <fgColor rgb="FF27AE60"/>
        <bgColor rgb="FF1ABC9C"/>
      </patternFill>
    </fill>
    <fill>
      <patternFill patternType="solid">
        <fgColor rgb="FFEAFAF1"/>
        <bgColor rgb="FFF0F4F8"/>
      </patternFill>
    </fill>
    <fill>
      <patternFill patternType="solid">
        <fgColor rgb="FFF39C12"/>
        <bgColor rgb="FFFFCC00"/>
      </patternFill>
    </fill>
    <fill>
      <patternFill patternType="solid">
        <fgColor rgb="FFFEF9E7"/>
        <bgColor rgb="FFF8F9F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A3A5C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1" fillId="4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3" fontId="9" fillId="7" borderId="0" xfId="0" applyNumberFormat="1" applyFont="1" applyFill="1" applyAlignment="1">
      <alignment horizontal="center" vertical="center"/>
    </xf>
    <xf numFmtId="176" fontId="8" fillId="7" borderId="0" xfId="0" applyNumberFormat="1" applyFont="1" applyFill="1" applyAlignment="1">
      <alignment horizontal="center" vertical="center"/>
    </xf>
    <xf numFmtId="176" fontId="7" fillId="7" borderId="0" xfId="0" applyNumberFormat="1" applyFont="1" applyFill="1" applyAlignment="1">
      <alignment horizontal="center" vertical="center"/>
    </xf>
    <xf numFmtId="3" fontId="6" fillId="7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3" fontId="16" fillId="9" borderId="1" xfId="0" applyNumberFormat="1" applyFont="1" applyFill="1" applyBorder="1" applyAlignment="1">
      <alignment horizontal="center" vertical="center"/>
    </xf>
    <xf numFmtId="3" fontId="16" fillId="10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3" fontId="14" fillId="8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176" fontId="16" fillId="10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>
      <alignment horizontal="center" vertical="center"/>
    </xf>
    <xf numFmtId="176" fontId="16" fillId="9" borderId="1" xfId="0" applyNumberFormat="1" applyFont="1" applyFill="1" applyBorder="1" applyAlignment="1">
      <alignment horizontal="center" vertical="center"/>
    </xf>
    <xf numFmtId="176" fontId="19" fillId="12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3" fontId="21" fillId="13" borderId="1" xfId="0" applyNumberFormat="1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0" fontId="24" fillId="15" borderId="1" xfId="0" applyFont="1" applyFill="1" applyBorder="1" applyAlignment="1">
      <alignment horizontal="center" vertical="center"/>
    </xf>
    <xf numFmtId="3" fontId="23" fillId="15" borderId="1" xfId="0" applyNumberFormat="1" applyFont="1" applyFill="1" applyBorder="1" applyAlignment="1">
      <alignment horizontal="center" vertical="center"/>
    </xf>
    <xf numFmtId="0" fontId="25" fillId="17" borderId="1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/>
    </xf>
    <xf numFmtId="38" fontId="16" fillId="9" borderId="1" xfId="0" applyNumberFormat="1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center" vertical="center"/>
    </xf>
    <xf numFmtId="38" fontId="16" fillId="10" borderId="1" xfId="0" applyNumberFormat="1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30" fillId="4" borderId="3" xfId="0" applyFont="1" applyFill="1" applyBorder="1" applyAlignment="1">
      <alignment horizontal="center" vertical="center"/>
    </xf>
    <xf numFmtId="0" fontId="13" fillId="18" borderId="3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0" fontId="32" fillId="19" borderId="1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1" fillId="14" borderId="0" xfId="0" applyFont="1" applyFill="1" applyAlignment="1">
      <alignment horizontal="left" vertical="center"/>
    </xf>
    <xf numFmtId="0" fontId="11" fillId="16" borderId="0" xfId="0" applyFont="1" applyFill="1" applyAlignment="1">
      <alignment horizontal="left" vertical="center"/>
    </xf>
    <xf numFmtId="3" fontId="26" fillId="9" borderId="2" xfId="0" applyNumberFormat="1" applyFont="1" applyFill="1" applyBorder="1" applyAlignment="1">
      <alignment horizontal="center" vertical="center"/>
    </xf>
    <xf numFmtId="3" fontId="26" fillId="10" borderId="2" xfId="0" applyNumberFormat="1" applyFont="1" applyFill="1" applyBorder="1" applyAlignment="1">
      <alignment horizontal="center" vertical="center"/>
    </xf>
    <xf numFmtId="176" fontId="26" fillId="10" borderId="2" xfId="0" applyNumberFormat="1" applyFont="1" applyFill="1" applyBorder="1" applyAlignment="1">
      <alignment horizontal="center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27" fillId="4" borderId="0" xfId="0" applyFont="1" applyFill="1" applyAlignment="1">
      <alignment horizontal="left" vertical="center"/>
    </xf>
    <xf numFmtId="0" fontId="28" fillId="4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28" fillId="18" borderId="0" xfId="0" applyFont="1" applyFill="1" applyAlignment="1">
      <alignment horizontal="left" vertical="center"/>
    </xf>
    <xf numFmtId="0" fontId="27" fillId="5" borderId="0" xfId="0" applyFont="1" applyFill="1" applyAlignment="1">
      <alignment horizontal="left" vertical="center"/>
    </xf>
    <xf numFmtId="0" fontId="28" fillId="5" borderId="0" xfId="0" applyFont="1" applyFill="1" applyAlignment="1">
      <alignment horizontal="left" vertical="center"/>
    </xf>
    <xf numFmtId="0" fontId="27" fillId="6" borderId="0" xfId="0" applyFont="1" applyFill="1" applyAlignment="1">
      <alignment horizontal="left" vertical="center"/>
    </xf>
    <xf numFmtId="0" fontId="28" fillId="6" borderId="0" xfId="0" applyFont="1" applyFill="1" applyAlignment="1">
      <alignment horizontal="left" vertical="center"/>
    </xf>
    <xf numFmtId="0" fontId="27" fillId="16" borderId="0" xfId="0" applyFont="1" applyFill="1" applyAlignment="1">
      <alignment horizontal="left" vertical="center"/>
    </xf>
    <xf numFmtId="0" fontId="28" fillId="16" borderId="0" xfId="0" applyFont="1" applyFill="1" applyAlignment="1">
      <alignment horizontal="left" vertical="center"/>
    </xf>
    <xf numFmtId="0" fontId="27" fillId="14" borderId="0" xfId="0" applyFont="1" applyFill="1" applyAlignment="1">
      <alignment horizontal="left" vertical="center"/>
    </xf>
    <xf numFmtId="0" fontId="28" fillId="14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D3C98"/>
      <rgbColor rgb="FFFEF9E7"/>
      <rgbColor rgb="FFD6EAF8"/>
      <rgbColor rgb="FF660066"/>
      <rgbColor rgb="FFFF8080"/>
      <rgbColor rgb="FF0066CC"/>
      <rgbColor rgb="FFE8EA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AF1"/>
      <rgbColor rgb="FFD5F5E3"/>
      <rgbColor rgb="FFFDEDEC"/>
      <rgbColor rgb="FFF0F4F8"/>
      <rgbColor rgb="FFF8F9FA"/>
      <rgbColor rgb="FFCC99FF"/>
      <rgbColor rgb="FFF5EEF8"/>
      <rgbColor rgb="FF2E86C1"/>
      <rgbColor rgb="FF1ABC9C"/>
      <rgbColor rgb="FF99CC00"/>
      <rgbColor rgb="FFFFCC00"/>
      <rgbColor rgb="FFF39C12"/>
      <rgbColor rgb="FFE74C3C"/>
      <rgbColor rgb="FF666699"/>
      <rgbColor rgb="FF969696"/>
      <rgbColor rgb="FF1A3A5C"/>
      <rgbColor rgb="FF27AE60"/>
      <rgbColor rgb="FF085041"/>
      <rgbColor rgb="FF333300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3A5C"/>
    <pageSetUpPr fitToPage="1"/>
  </sheetPr>
  <dimension ref="A1:R60"/>
  <sheetViews>
    <sheetView zoomScaleNormal="100" workbookViewId="0">
      <pane ySplit="13" topLeftCell="A29" activePane="bottomLeft" state="frozen"/>
      <selection pane="bottomLeft" sqref="A1:R2"/>
    </sheetView>
  </sheetViews>
  <sheetFormatPr defaultColWidth="8.6640625" defaultRowHeight="14.4"/>
  <cols>
    <col min="1" max="1" width="14" customWidth="1"/>
    <col min="2" max="7" width="11" customWidth="1"/>
    <col min="8" max="8" width="13" customWidth="1"/>
    <col min="9" max="18" width="11" customWidth="1"/>
  </cols>
  <sheetData>
    <row r="1" spans="1:18" ht="39.7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4.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19.5" customHeight="1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ht="9.75" customHeight="1"/>
    <row r="5" spans="1:18" ht="19.5" customHeight="1">
      <c r="A5" s="12" t="s">
        <v>2</v>
      </c>
      <c r="B5" s="12"/>
      <c r="C5" s="12"/>
      <c r="D5" s="12"/>
      <c r="E5" s="11" t="s">
        <v>3</v>
      </c>
      <c r="F5" s="11"/>
      <c r="G5" s="11"/>
      <c r="H5" s="11"/>
      <c r="I5" s="10" t="s">
        <v>4</v>
      </c>
      <c r="J5" s="10"/>
      <c r="K5" s="10"/>
      <c r="L5" s="10"/>
      <c r="M5" s="9" t="s">
        <v>5</v>
      </c>
      <c r="N5" s="9"/>
      <c r="O5" s="9"/>
      <c r="P5" s="9"/>
    </row>
    <row r="6" spans="1:18" ht="19.5" customHeight="1">
      <c r="A6" s="12"/>
      <c r="B6" s="12"/>
      <c r="C6" s="12"/>
      <c r="D6" s="12"/>
      <c r="E6" s="11"/>
      <c r="F6" s="11"/>
      <c r="G6" s="11"/>
      <c r="H6" s="11"/>
      <c r="I6" s="10"/>
      <c r="J6" s="10"/>
      <c r="K6" s="10"/>
      <c r="L6" s="10"/>
      <c r="M6" s="9"/>
      <c r="N6" s="9"/>
      <c r="O6" s="9"/>
      <c r="P6" s="9"/>
    </row>
    <row r="7" spans="1:18" ht="30" customHeight="1">
      <c r="A7" s="8">
        <f>SUM(①급수량관리!E31:E35)</f>
        <v>108200</v>
      </c>
      <c r="B7" s="8"/>
      <c r="C7" s="8"/>
      <c r="D7" s="8"/>
      <c r="E7" s="7">
        <f>③누수_유수율!E11</f>
        <v>0</v>
      </c>
      <c r="F7" s="7"/>
      <c r="G7" s="7"/>
      <c r="H7" s="7"/>
      <c r="I7" s="6">
        <f>④요금수입!D11</f>
        <v>0</v>
      </c>
      <c r="J7" s="6"/>
      <c r="K7" s="6"/>
      <c r="L7" s="6"/>
      <c r="M7" s="5">
        <f>SUMIF(⑤민원관리!A26:A29,"2025-06",⑤민원관리!C26:C29)</f>
        <v>19</v>
      </c>
      <c r="N7" s="5"/>
      <c r="O7" s="5"/>
      <c r="P7" s="5"/>
    </row>
    <row r="8" spans="1:18" ht="19.5" customHeight="1">
      <c r="A8" s="8"/>
      <c r="B8" s="8"/>
      <c r="C8" s="8"/>
      <c r="D8" s="8"/>
      <c r="E8" s="7"/>
      <c r="F8" s="7"/>
      <c r="G8" s="7"/>
      <c r="H8" s="7"/>
      <c r="I8" s="6"/>
      <c r="J8" s="6"/>
      <c r="K8" s="6"/>
      <c r="L8" s="6"/>
      <c r="M8" s="5"/>
      <c r="N8" s="5"/>
      <c r="O8" s="5"/>
      <c r="P8" s="5"/>
    </row>
    <row r="9" spans="1:18" ht="19.5" customHeight="1">
      <c r="A9" s="8"/>
      <c r="B9" s="8"/>
      <c r="C9" s="8"/>
      <c r="D9" s="8"/>
      <c r="E9" s="7"/>
      <c r="F9" s="7"/>
      <c r="G9" s="7"/>
      <c r="H9" s="7"/>
      <c r="I9" s="6"/>
      <c r="J9" s="6"/>
      <c r="K9" s="6"/>
      <c r="L9" s="6"/>
      <c r="M9" s="5"/>
      <c r="N9" s="5"/>
      <c r="O9" s="5"/>
      <c r="P9" s="5"/>
    </row>
    <row r="10" spans="1:18" ht="19.5" customHeight="1">
      <c r="A10" s="4" t="s">
        <v>6</v>
      </c>
      <c r="B10" s="4"/>
      <c r="C10" s="4"/>
      <c r="D10" s="4"/>
      <c r="M10" s="3" t="s">
        <v>7</v>
      </c>
      <c r="N10" s="3"/>
      <c r="O10" s="3"/>
      <c r="P10" s="3"/>
    </row>
    <row r="11" spans="1:18" ht="19.5" customHeight="1"/>
    <row r="13" spans="1:18" ht="9.75" customHeight="1"/>
    <row r="14" spans="1:18" ht="24" customHeight="1">
      <c r="A14" s="2" t="s">
        <v>8</v>
      </c>
      <c r="B14" s="2"/>
      <c r="C14" s="2"/>
      <c r="D14" s="2"/>
      <c r="E14" s="2"/>
      <c r="F14" s="2"/>
      <c r="G14" s="2"/>
      <c r="H14" s="2"/>
    </row>
    <row r="15" spans="1:18" ht="19.5" customHeight="1">
      <c r="A15" s="15" t="s">
        <v>9</v>
      </c>
      <c r="B15" s="16" t="s">
        <v>10</v>
      </c>
      <c r="C15" s="16" t="s">
        <v>11</v>
      </c>
      <c r="D15" s="16" t="s">
        <v>12</v>
      </c>
      <c r="E15" s="16" t="s">
        <v>13</v>
      </c>
      <c r="F15" s="16" t="s">
        <v>14</v>
      </c>
      <c r="G15" s="16" t="s">
        <v>15</v>
      </c>
    </row>
    <row r="16" spans="1:18" ht="18" customHeight="1">
      <c r="A16" s="17" t="s">
        <v>16</v>
      </c>
      <c r="B16" s="18">
        <f>①급수량관리!E5</f>
        <v>43200</v>
      </c>
      <c r="C16" s="18">
        <f>①급수량관리!E10</f>
        <v>44100</v>
      </c>
      <c r="D16" s="18">
        <f>①급수량관리!E15</f>
        <v>46200</v>
      </c>
      <c r="E16" s="18">
        <f>①급수량관리!E20</f>
        <v>47500</v>
      </c>
      <c r="F16" s="18">
        <f>①급수량관리!E25</f>
        <v>49100</v>
      </c>
      <c r="G16" s="18">
        <f>①급수량관리!E30</f>
        <v>51200</v>
      </c>
    </row>
    <row r="17" spans="1:8" ht="18" customHeight="1">
      <c r="A17" s="17" t="s">
        <v>17</v>
      </c>
      <c r="B17" s="19">
        <f>①급수량관리!E6</f>
        <v>31500</v>
      </c>
      <c r="C17" s="19">
        <f>①급수량관리!E11</f>
        <v>31800</v>
      </c>
      <c r="D17" s="19">
        <f>①급수량관리!E16</f>
        <v>32700</v>
      </c>
      <c r="E17" s="19">
        <f>①급수량관리!E21</f>
        <v>33600</v>
      </c>
      <c r="F17" s="19">
        <f>①급수량관리!E26</f>
        <v>34500</v>
      </c>
      <c r="G17" s="19">
        <f>①급수량관리!E31</f>
        <v>35400</v>
      </c>
    </row>
    <row r="18" spans="1:8" ht="18" customHeight="1">
      <c r="A18" s="17" t="s">
        <v>18</v>
      </c>
      <c r="B18" s="18">
        <f>①급수량관리!E7</f>
        <v>27800</v>
      </c>
      <c r="C18" s="18">
        <f>①급수량관리!E12</f>
        <v>28200</v>
      </c>
      <c r="D18" s="18">
        <f>①급수량관리!E17</f>
        <v>28900</v>
      </c>
      <c r="E18" s="18">
        <f>①급수량관리!E22</f>
        <v>29800</v>
      </c>
      <c r="F18" s="18">
        <f>①급수량관리!E27</f>
        <v>30600</v>
      </c>
      <c r="G18" s="18">
        <f>①급수량관리!E32</f>
        <v>31500</v>
      </c>
    </row>
    <row r="19" spans="1:8" ht="18" customHeight="1">
      <c r="A19" s="17" t="s">
        <v>19</v>
      </c>
      <c r="B19" s="19">
        <f>①급수량관리!E8</f>
        <v>18600</v>
      </c>
      <c r="C19" s="19">
        <f>①급수량관리!E13</f>
        <v>18900</v>
      </c>
      <c r="D19" s="19">
        <f>①급수량관리!E18</f>
        <v>19800</v>
      </c>
      <c r="E19" s="19">
        <f>①급수량관리!E23</f>
        <v>20700</v>
      </c>
      <c r="F19" s="19">
        <f>①급수량관리!E28</f>
        <v>21800</v>
      </c>
      <c r="G19" s="19">
        <f>①급수량관리!E33</f>
        <v>22600</v>
      </c>
    </row>
    <row r="20" spans="1:8" ht="18" customHeight="1">
      <c r="A20" s="17" t="s">
        <v>20</v>
      </c>
      <c r="B20" s="18">
        <f>①급수량관리!E9</f>
        <v>14900</v>
      </c>
      <c r="C20" s="18">
        <f>①급수량관리!E14</f>
        <v>15100</v>
      </c>
      <c r="D20" s="18">
        <f>①급수량관리!E19</f>
        <v>15900</v>
      </c>
      <c r="E20" s="18">
        <f>①급수량관리!E24</f>
        <v>16800</v>
      </c>
      <c r="F20" s="18">
        <f>①급수량관리!E29</f>
        <v>17900</v>
      </c>
      <c r="G20" s="18">
        <f>①급수량관리!E34</f>
        <v>18700</v>
      </c>
    </row>
    <row r="21" spans="1:8" ht="19.5" customHeight="1">
      <c r="A21" s="20" t="s">
        <v>21</v>
      </c>
      <c r="B21" s="21">
        <f t="shared" ref="B21:G21" si="0">SUM(B16:B20)</f>
        <v>136000</v>
      </c>
      <c r="C21" s="21">
        <f t="shared" si="0"/>
        <v>138100</v>
      </c>
      <c r="D21" s="21">
        <f t="shared" si="0"/>
        <v>143500</v>
      </c>
      <c r="E21" s="21">
        <f t="shared" si="0"/>
        <v>148400</v>
      </c>
      <c r="F21" s="21">
        <f t="shared" si="0"/>
        <v>153900</v>
      </c>
      <c r="G21" s="21">
        <f t="shared" si="0"/>
        <v>159400</v>
      </c>
    </row>
    <row r="22" spans="1:8" ht="9.75" customHeight="1"/>
    <row r="23" spans="1:8" ht="24" customHeight="1">
      <c r="A23" s="1" t="s">
        <v>22</v>
      </c>
      <c r="B23" s="1"/>
      <c r="C23" s="1"/>
      <c r="D23" s="1"/>
      <c r="E23" s="1"/>
      <c r="F23" s="1"/>
      <c r="G23" s="1"/>
      <c r="H23" s="1"/>
    </row>
    <row r="24" spans="1:8" ht="19.5" customHeight="1">
      <c r="A24" s="22" t="s">
        <v>9</v>
      </c>
      <c r="B24" s="23" t="s">
        <v>23</v>
      </c>
      <c r="C24" s="23" t="s">
        <v>24</v>
      </c>
      <c r="D24" s="23" t="s">
        <v>25</v>
      </c>
      <c r="E24" s="23" t="s">
        <v>26</v>
      </c>
      <c r="F24" s="23" t="s">
        <v>27</v>
      </c>
      <c r="G24" s="23" t="s">
        <v>28</v>
      </c>
    </row>
    <row r="25" spans="1:8" ht="18" customHeight="1">
      <c r="A25" s="24" t="s">
        <v>29</v>
      </c>
      <c r="B25" s="18">
        <f>③누수_유수율!B5</f>
        <v>145000</v>
      </c>
      <c r="C25" s="18">
        <f>③누수_유수율!B6</f>
        <v>142000</v>
      </c>
      <c r="D25" s="18">
        <f>③누수_유수율!B7</f>
        <v>149000</v>
      </c>
      <c r="E25" s="18">
        <f>③누수_유수율!B8</f>
        <v>154000</v>
      </c>
      <c r="F25" s="18">
        <f>③누수_유수율!B9</f>
        <v>160000</v>
      </c>
      <c r="G25" s="18">
        <f>③누수_유수율!B10</f>
        <v>165000</v>
      </c>
    </row>
    <row r="26" spans="1:8" ht="18" customHeight="1">
      <c r="A26" s="24" t="s">
        <v>30</v>
      </c>
      <c r="B26" s="19">
        <f>③누수_유수율!C5</f>
        <v>136000</v>
      </c>
      <c r="C26" s="19">
        <f>③누수_유수율!C6</f>
        <v>134500</v>
      </c>
      <c r="D26" s="19">
        <f>③누수_유수율!C7</f>
        <v>140800</v>
      </c>
      <c r="E26" s="19">
        <f>③누수_유수율!C8</f>
        <v>146200</v>
      </c>
      <c r="F26" s="19">
        <f>③누수_유수율!C9</f>
        <v>152500</v>
      </c>
      <c r="G26" s="19">
        <f>③누수_유수율!C10</f>
        <v>567677</v>
      </c>
    </row>
    <row r="27" spans="1:8" ht="18" customHeight="1">
      <c r="A27" s="24" t="s">
        <v>31</v>
      </c>
      <c r="B27" s="18">
        <f>③누수_유수율!D5</f>
        <v>10000</v>
      </c>
      <c r="C27" s="18">
        <f>③누수_유수율!D6</f>
        <v>7500</v>
      </c>
      <c r="D27" s="18">
        <f>③누수_유수율!D7</f>
        <v>2333</v>
      </c>
      <c r="E27" s="18">
        <f>③누수_유수율!D8</f>
        <v>4444</v>
      </c>
      <c r="F27" s="18">
        <f>③누수_유수율!D9</f>
        <v>7500</v>
      </c>
      <c r="G27" s="18">
        <f>③누수_유수율!D10</f>
        <v>7800</v>
      </c>
    </row>
    <row r="28" spans="1:8" ht="18" customHeight="1">
      <c r="A28" s="24" t="s">
        <v>32</v>
      </c>
      <c r="B28" s="25">
        <f>③누수_유수율!E5</f>
        <v>0.93793103448275861</v>
      </c>
      <c r="C28" s="25">
        <f>③누수_유수율!E6</f>
        <v>0.94718309859154926</v>
      </c>
      <c r="D28" s="25">
        <f>③누수_유수율!E7</f>
        <v>0.94496644295302012</v>
      </c>
      <c r="E28" s="25">
        <f>③누수_유수율!E8</f>
        <v>0.94935064935064939</v>
      </c>
      <c r="F28" s="25">
        <f>③누수_유수율!E9</f>
        <v>0.953125</v>
      </c>
      <c r="G28" s="25">
        <f>③누수_유수율!E10</f>
        <v>3.4404666666666666</v>
      </c>
    </row>
    <row r="29" spans="1:8" ht="18" customHeight="1">
      <c r="A29" s="24" t="s">
        <v>33</v>
      </c>
      <c r="B29" s="18">
        <f>③누수_유수율!G5</f>
        <v>12</v>
      </c>
      <c r="C29" s="18">
        <f>③누수_유수율!G6</f>
        <v>9</v>
      </c>
      <c r="D29" s="18">
        <f>③누수_유수율!G7</f>
        <v>11</v>
      </c>
      <c r="E29" s="18">
        <f>③누수_유수율!G8</f>
        <v>8</v>
      </c>
      <c r="F29" s="18">
        <f>③누수_유수율!G9</f>
        <v>8</v>
      </c>
      <c r="G29" s="18">
        <f>③누수_유수율!G10</f>
        <v>7</v>
      </c>
    </row>
    <row r="30" spans="1:8" ht="9.75" customHeight="1"/>
    <row r="31" spans="1:8" ht="24" customHeight="1">
      <c r="A31" s="56" t="s">
        <v>34</v>
      </c>
      <c r="B31" s="56"/>
      <c r="C31" s="56"/>
      <c r="D31" s="56"/>
      <c r="E31" s="56"/>
      <c r="F31" s="56"/>
      <c r="G31" s="56"/>
      <c r="H31" s="56"/>
    </row>
    <row r="32" spans="1:8" ht="19.5" customHeight="1">
      <c r="A32" s="26" t="s">
        <v>9</v>
      </c>
      <c r="B32" s="27" t="s">
        <v>35</v>
      </c>
      <c r="C32" s="27" t="s">
        <v>36</v>
      </c>
      <c r="D32" s="27" t="s">
        <v>37</v>
      </c>
      <c r="E32" s="27" t="s">
        <v>38</v>
      </c>
      <c r="F32" s="27" t="s">
        <v>39</v>
      </c>
      <c r="G32" s="27" t="s">
        <v>40</v>
      </c>
      <c r="H32" s="28" t="s">
        <v>41</v>
      </c>
    </row>
    <row r="33" spans="1:8" ht="18" customHeight="1">
      <c r="A33" s="28" t="s">
        <v>42</v>
      </c>
      <c r="B33" s="18">
        <f>④요금수입!B5</f>
        <v>185200000</v>
      </c>
      <c r="C33" s="18">
        <f>④요금수입!B6</f>
        <v>179800000</v>
      </c>
      <c r="D33" s="18">
        <f>④요금수입!B7</f>
        <v>192500000</v>
      </c>
      <c r="E33" s="18">
        <f>④요금수입!B8</f>
        <v>198700000</v>
      </c>
      <c r="F33" s="18">
        <f>④요금수입!B9</f>
        <v>206300000</v>
      </c>
      <c r="G33" s="18">
        <f>④요금수입!B10</f>
        <v>215800000</v>
      </c>
      <c r="H33" s="29">
        <f>SUM(B33:G33)</f>
        <v>1178300000</v>
      </c>
    </row>
    <row r="34" spans="1:8" ht="18" customHeight="1">
      <c r="A34" s="28" t="s">
        <v>43</v>
      </c>
      <c r="B34" s="19">
        <f>④요금수입!C5</f>
        <v>181356000</v>
      </c>
      <c r="C34" s="19">
        <f>④요금수입!C6</f>
        <v>176204000</v>
      </c>
      <c r="D34" s="19">
        <f>④요금수입!C7</f>
        <v>188930000</v>
      </c>
      <c r="E34" s="19">
        <f>④요금수입!C8</f>
        <v>195726000</v>
      </c>
      <c r="F34" s="19">
        <f>④요금수입!C9</f>
        <v>203418000</v>
      </c>
      <c r="G34" s="19">
        <f>④요금수입!C10</f>
        <v>212813000</v>
      </c>
      <c r="H34" s="29">
        <f>SUM(B34:G34)</f>
        <v>1158447000</v>
      </c>
    </row>
    <row r="35" spans="1:8" ht="18" customHeight="1">
      <c r="A35" s="28" t="s">
        <v>44</v>
      </c>
      <c r="B35" s="30">
        <f>④요금수입!D5</f>
        <v>0.97924406047516199</v>
      </c>
      <c r="C35" s="30">
        <f>④요금수입!D6</f>
        <v>0.98</v>
      </c>
      <c r="D35" s="30">
        <f>④요금수입!D7</f>
        <v>0.98145454545454547</v>
      </c>
      <c r="E35" s="30">
        <f>④요금수입!D8</f>
        <v>0.98503271263210868</v>
      </c>
      <c r="F35" s="30">
        <f>④요금수입!D9</f>
        <v>0.98603005332040716</v>
      </c>
      <c r="G35" s="30">
        <f>④요금수입!D10</f>
        <v>0.98615848007414275</v>
      </c>
      <c r="H35" s="31">
        <f>AVERAGE(B35:G35)</f>
        <v>0.98298664199272767</v>
      </c>
    </row>
    <row r="36" spans="1:8" ht="18" customHeight="1">
      <c r="A36" s="28" t="s">
        <v>45</v>
      </c>
      <c r="B36" s="19">
        <f>④요금수입!E5</f>
        <v>3844000</v>
      </c>
      <c r="C36" s="19">
        <f>④요금수입!E6</f>
        <v>3596000</v>
      </c>
      <c r="D36" s="19">
        <f>④요금수입!E7</f>
        <v>3570000</v>
      </c>
      <c r="E36" s="19">
        <f>④요금수입!E8</f>
        <v>2974000</v>
      </c>
      <c r="F36" s="19">
        <f>④요금수입!E9</f>
        <v>2882000</v>
      </c>
      <c r="G36" s="19">
        <f>④요금수입!E10</f>
        <v>2987000</v>
      </c>
      <c r="H36" s="29">
        <f>SUM(B36:G36)</f>
        <v>19853000</v>
      </c>
    </row>
    <row r="37" spans="1:8" ht="18" customHeight="1">
      <c r="A37" s="28" t="s">
        <v>46</v>
      </c>
      <c r="B37" s="18">
        <f>④요금수입!F5</f>
        <v>42</v>
      </c>
      <c r="C37" s="18">
        <f>④요금수입!F6</f>
        <v>38</v>
      </c>
      <c r="D37" s="18">
        <f>④요금수입!F7</f>
        <v>35</v>
      </c>
      <c r="E37" s="18">
        <f>④요금수입!F8</f>
        <v>30</v>
      </c>
      <c r="F37" s="18">
        <f>④요금수입!F9</f>
        <v>28</v>
      </c>
      <c r="G37" s="18">
        <f>④요금수입!F10</f>
        <v>31</v>
      </c>
      <c r="H37" s="29">
        <f>SUM(B37:G37)</f>
        <v>204</v>
      </c>
    </row>
    <row r="38" spans="1:8" ht="9.75" customHeight="1"/>
    <row r="39" spans="1:8" ht="24" customHeight="1">
      <c r="A39" s="57" t="s">
        <v>47</v>
      </c>
      <c r="B39" s="57"/>
      <c r="C39" s="57"/>
      <c r="D39" s="57"/>
      <c r="E39" s="57"/>
      <c r="F39" s="57"/>
      <c r="G39" s="57"/>
      <c r="H39" s="57"/>
    </row>
    <row r="40" spans="1:8" ht="19.5" customHeight="1">
      <c r="A40" s="32" t="s">
        <v>9</v>
      </c>
      <c r="B40" s="33" t="s">
        <v>48</v>
      </c>
      <c r="C40" s="33" t="s">
        <v>49</v>
      </c>
      <c r="D40" s="33" t="s">
        <v>50</v>
      </c>
      <c r="E40" s="33" t="s">
        <v>51</v>
      </c>
      <c r="F40" s="33" t="s">
        <v>52</v>
      </c>
      <c r="G40" s="33" t="s">
        <v>53</v>
      </c>
      <c r="H40" s="34" t="s">
        <v>54</v>
      </c>
    </row>
    <row r="41" spans="1:8" ht="18" customHeight="1">
      <c r="A41" s="34" t="s">
        <v>55</v>
      </c>
      <c r="B41" s="18">
        <f>SUMPRODUCT((⑤민원관리!$A$5:$A$28="2025-01")*(⑤민원관리!$B$5:$B$28="수도누수신고")*⑤민원관리!$C$5:$C$28)</f>
        <v>18</v>
      </c>
      <c r="C41" s="18">
        <f>SUMPRODUCT((⑤민원관리!$A$5:$A$28="2025-02")*(⑤민원관리!$B$5:$B$28="수도누수신고")*⑤민원관리!$C$5:$C$28)</f>
        <v>14</v>
      </c>
      <c r="D41" s="18">
        <f>SUMPRODUCT((⑤민원관리!$A$5:$A$28="2025-03")*(⑤민원관리!$B$5:$B$28="수도누수신고")*⑤민원관리!$C$5:$C$28)</f>
        <v>16</v>
      </c>
      <c r="E41" s="18">
        <f>SUMPRODUCT((⑤민원관리!$A$5:$A$28="2025-04")*(⑤민원관리!$B$5:$B$28="수도누수신고")*⑤민원관리!$C$5:$C$28)</f>
        <v>12</v>
      </c>
      <c r="F41" s="18">
        <f>SUMPRODUCT((⑤민원관리!$A$5:$A$28="2025-05")*(⑤민원관리!$B$5:$B$28="수도누수신고")*⑤민원관리!$C$5:$C$28)</f>
        <v>15</v>
      </c>
      <c r="G41" s="18">
        <f>SUMPRODUCT((⑤민원관리!$A$5:$A$28="2025-06")*(⑤민원관리!$B$5:$B$28="수도누수신고")*⑤민원관리!$C$5:$C$28)</f>
        <v>20</v>
      </c>
      <c r="H41" s="35">
        <f>SUM(B41:G41)</f>
        <v>95</v>
      </c>
    </row>
    <row r="42" spans="1:8" ht="18" customHeight="1">
      <c r="A42" s="34" t="s">
        <v>56</v>
      </c>
      <c r="B42" s="19">
        <f>SUMPRODUCT((⑤민원관리!$A$5:$A$28="2025-01")*(⑤민원관리!$B$5:$B$28="요금이의신청")*⑤민원관리!$C$5:$C$28)</f>
        <v>5</v>
      </c>
      <c r="C42" s="19">
        <f>SUMPRODUCT((⑤민원관리!$A$5:$A$28="2025-02")*(⑤민원관리!$B$5:$B$28="요금이의신청")*⑤민원관리!$C$5:$C$28)</f>
        <v>4</v>
      </c>
      <c r="D42" s="19">
        <f>SUMPRODUCT((⑤민원관리!$A$5:$A$28="2025-03")*(⑤민원관리!$B$5:$B$28="요금이의신청")*⑤민원관리!$C$5:$C$28)</f>
        <v>6</v>
      </c>
      <c r="E42" s="19">
        <f>SUMPRODUCT((⑤민원관리!$A$5:$A$28="2025-04")*(⑤민원관리!$B$5:$B$28="요금이의신청")*⑤민원관리!$C$5:$C$28)</f>
        <v>3</v>
      </c>
      <c r="F42" s="19">
        <f>SUMPRODUCT((⑤민원관리!$A$5:$A$28="2025-05")*(⑤민원관리!$B$5:$B$28="요금이의신청")*⑤민원관리!$C$5:$C$28)</f>
        <v>4</v>
      </c>
      <c r="G42" s="19">
        <f>SUMPRODUCT((⑤민원관리!$A$5:$A$28="2025-06")*(⑤민원관리!$B$5:$B$28="요금이의신청")*⑤민원관리!$C$5:$C$28)</f>
        <v>5</v>
      </c>
      <c r="H42" s="35">
        <f>SUM(B42:G42)</f>
        <v>27</v>
      </c>
    </row>
    <row r="43" spans="1:8" ht="18" customHeight="1">
      <c r="A43" s="34" t="s">
        <v>57</v>
      </c>
      <c r="B43" s="18">
        <f>SUMPRODUCT((⑤민원관리!$A$5:$A$28="2025-01")*(⑤민원관리!$B$5:$B$28="수압불량")*⑤민원관리!$C$5:$C$28)</f>
        <v>8</v>
      </c>
      <c r="C43" s="18">
        <f>SUMPRODUCT((⑤민원관리!$A$5:$A$28="2025-02")*(⑤민원관리!$B$5:$B$28="수압불량")*⑤민원관리!$C$5:$C$28)</f>
        <v>6</v>
      </c>
      <c r="D43" s="18">
        <f>SUMPRODUCT((⑤민원관리!$A$5:$A$28="2025-03")*(⑤민원관리!$B$5:$B$28="수압불량")*⑤민원관리!$C$5:$C$28)</f>
        <v>9</v>
      </c>
      <c r="E43" s="18">
        <f>SUMPRODUCT((⑤민원관리!$A$5:$A$28="2025-04")*(⑤민원관리!$B$5:$B$28="수압불량")*⑤민원관리!$C$5:$C$28)</f>
        <v>5</v>
      </c>
      <c r="F43" s="18">
        <f>SUMPRODUCT((⑤민원관리!$A$5:$A$28="2025-05")*(⑤민원관리!$B$5:$B$28="수압불량")*⑤민원관리!$C$5:$C$28)</f>
        <v>7</v>
      </c>
      <c r="G43" s="18">
        <f>SUMPRODUCT((⑤민원관리!$A$5:$A$28="2025-06")*(⑤민원관리!$B$5:$B$28="수압불량")*⑤민원관리!$C$5:$C$28)</f>
        <v>10</v>
      </c>
      <c r="H43" s="35">
        <f>SUM(B43:G43)</f>
        <v>45</v>
      </c>
    </row>
    <row r="44" spans="1:8" ht="18" customHeight="1">
      <c r="A44" s="34" t="s">
        <v>58</v>
      </c>
      <c r="B44" s="19">
        <f>SUMPRODUCT((⑤민원관리!$A$5:$A$28="2025-01")*(⑤민원관리!$B$5:$B$28="단수불편")*⑤민원관리!$C$5:$C$28)</f>
        <v>3</v>
      </c>
      <c r="C44" s="19">
        <f>SUMPRODUCT((⑤민원관리!$A$5:$A$28="2025-02")*(⑤민원관리!$B$5:$B$28="단수불편")*⑤민원관리!$C$5:$C$28)</f>
        <v>2</v>
      </c>
      <c r="D44" s="19">
        <f>SUMPRODUCT((⑤민원관리!$A$5:$A$28="2025-03")*(⑤민원관리!$B$5:$B$28="단수불편")*⑤민원관리!$C$5:$C$28)</f>
        <v>0</v>
      </c>
      <c r="E44" s="19">
        <f>SUMPRODUCT((⑤민원관리!$A$5:$A$28="2025-04")*(⑤민원관리!$B$5:$B$28="단수불편")*⑤민원관리!$C$5:$C$28)</f>
        <v>0</v>
      </c>
      <c r="F44" s="19">
        <f>SUMPRODUCT((⑤민원관리!$A$5:$A$28="2025-05")*(⑤민원관리!$B$5:$B$28="단수불편")*⑤민원관리!$C$5:$C$28)</f>
        <v>2</v>
      </c>
      <c r="G44" s="19">
        <f>SUMPRODUCT((⑤민원관리!$A$5:$A$28="2025-06")*(⑤민원관리!$B$5:$B$28="단수불편")*⑤민원관리!$C$5:$C$28)</f>
        <v>4</v>
      </c>
      <c r="H44" s="35">
        <f>SUM(B44:G44)</f>
        <v>11</v>
      </c>
    </row>
    <row r="45" spans="1:8" ht="18" customHeight="1">
      <c r="A45" s="34" t="s">
        <v>59</v>
      </c>
      <c r="B45" s="18">
        <f>SUMPRODUCT((⑤민원관리!$A$5:$A$28="2025-01")*(⑤민원관리!$B$5:$B$28="기타불편")*⑤민원관리!$C$5:$C$28)</f>
        <v>0</v>
      </c>
      <c r="C45" s="18">
        <f>SUMPRODUCT((⑤민원관리!$A$5:$A$28="2025-02")*(⑤민원관리!$B$5:$B$28="기타불편")*⑤민원관리!$C$5:$C$28)</f>
        <v>0</v>
      </c>
      <c r="D45" s="18">
        <f>SUMPRODUCT((⑤민원관리!$A$5:$A$28="2025-03")*(⑤민원관리!$B$5:$B$28="기타불편")*⑤민원관리!$C$5:$C$28)</f>
        <v>4</v>
      </c>
      <c r="E45" s="18">
        <f>SUMPRODUCT((⑤민원관리!$A$5:$A$28="2025-04")*(⑤민원관리!$B$5:$B$28="기타불편")*⑤민원관리!$C$5:$C$28)</f>
        <v>3</v>
      </c>
      <c r="F45" s="18">
        <f>SUMPRODUCT((⑤민원관리!$A$5:$A$28="2025-05")*(⑤민원관리!$B$5:$B$28="기타불편")*⑤민원관리!$C$5:$C$28)</f>
        <v>0</v>
      </c>
      <c r="G45" s="18">
        <f>SUMPRODUCT((⑤민원관리!$A$5:$A$28="2025-06")*(⑤민원관리!$B$5:$B$28="기타불편")*⑤민원관리!$C$5:$C$28)</f>
        <v>0</v>
      </c>
      <c r="H45" s="35">
        <f>SUM(B45:G45)</f>
        <v>7</v>
      </c>
    </row>
    <row r="46" spans="1:8" ht="19.5" customHeight="1">
      <c r="A46" s="32" t="s">
        <v>60</v>
      </c>
      <c r="B46" s="35">
        <f t="shared" ref="B46:H46" si="1">SUM(B41:B45)</f>
        <v>34</v>
      </c>
      <c r="C46" s="35">
        <f t="shared" si="1"/>
        <v>26</v>
      </c>
      <c r="D46" s="35">
        <f t="shared" si="1"/>
        <v>35</v>
      </c>
      <c r="E46" s="35">
        <f t="shared" si="1"/>
        <v>23</v>
      </c>
      <c r="F46" s="35">
        <f t="shared" si="1"/>
        <v>28</v>
      </c>
      <c r="G46" s="35">
        <f t="shared" si="1"/>
        <v>39</v>
      </c>
      <c r="H46" s="35">
        <f t="shared" si="1"/>
        <v>185</v>
      </c>
    </row>
    <row r="47" spans="1:8" ht="9.75" customHeight="1"/>
    <row r="48" spans="1:8" ht="24" customHeight="1">
      <c r="A48" s="58" t="s">
        <v>61</v>
      </c>
      <c r="B48" s="58"/>
      <c r="C48" s="58"/>
      <c r="D48" s="58"/>
      <c r="E48" s="58"/>
      <c r="F48" s="58"/>
      <c r="G48" s="58"/>
      <c r="H48" s="58"/>
    </row>
    <row r="49" spans="1:8" ht="19.5" customHeight="1">
      <c r="A49" s="36" t="s">
        <v>62</v>
      </c>
      <c r="B49" s="37" t="s">
        <v>63</v>
      </c>
      <c r="C49" s="37" t="s">
        <v>64</v>
      </c>
      <c r="D49" s="37" t="s">
        <v>65</v>
      </c>
      <c r="E49" s="37" t="s">
        <v>66</v>
      </c>
      <c r="F49" s="37" t="s">
        <v>67</v>
      </c>
      <c r="G49" s="37" t="s">
        <v>68</v>
      </c>
      <c r="H49" s="38" t="s">
        <v>41</v>
      </c>
    </row>
    <row r="50" spans="1:8" ht="18" customHeight="1">
      <c r="A50" s="38" t="s">
        <v>69</v>
      </c>
      <c r="B50" s="18">
        <f>⑦예산집행!D5</f>
        <v>24850000</v>
      </c>
      <c r="C50" s="18">
        <f>⑦예산집행!D9</f>
        <v>24950000</v>
      </c>
      <c r="D50" s="18">
        <f>⑦예산집행!D13</f>
        <v>24900000</v>
      </c>
      <c r="E50" s="18">
        <f>⑦예산집행!D17</f>
        <v>25000000</v>
      </c>
      <c r="F50" s="18">
        <f>⑦예산집행!D21</f>
        <v>24980000</v>
      </c>
      <c r="G50" s="18">
        <f>⑦예산집행!D25</f>
        <v>24970000</v>
      </c>
      <c r="H50" s="39">
        <f>SUM(B50:G50)</f>
        <v>149650000</v>
      </c>
    </row>
    <row r="51" spans="1:8" ht="18" customHeight="1">
      <c r="A51" s="38" t="s">
        <v>70</v>
      </c>
      <c r="B51" s="19">
        <f>⑦예산집행!D6</f>
        <v>7920000</v>
      </c>
      <c r="C51" s="19">
        <f>⑦예산집행!D10</f>
        <v>8100000</v>
      </c>
      <c r="D51" s="19">
        <f>⑦예산집행!D14</f>
        <v>8250000</v>
      </c>
      <c r="E51" s="19">
        <f>⑦예산집행!D18</f>
        <v>8320000</v>
      </c>
      <c r="F51" s="19">
        <f>⑦예산집행!D22</f>
        <v>8400000</v>
      </c>
      <c r="G51" s="19">
        <f>⑦예산집행!D26</f>
        <v>8480000</v>
      </c>
      <c r="H51" s="39">
        <f>SUM(B51:G51)</f>
        <v>49470000</v>
      </c>
    </row>
    <row r="52" spans="1:8" ht="18" customHeight="1">
      <c r="A52" s="38" t="s">
        <v>71</v>
      </c>
      <c r="B52" s="18">
        <f>⑦예산집행!D7</f>
        <v>9800000</v>
      </c>
      <c r="C52" s="18">
        <f>⑦예산집행!D11</f>
        <v>4200000</v>
      </c>
      <c r="D52" s="18">
        <f>⑦예산집행!D15</f>
        <v>12500000</v>
      </c>
      <c r="E52" s="18">
        <f>⑦예산집행!D19</f>
        <v>5600000</v>
      </c>
      <c r="F52" s="18">
        <f>⑦예산집행!D23</f>
        <v>7800000</v>
      </c>
      <c r="G52" s="18">
        <f>⑦예산집행!D27</f>
        <v>8200000</v>
      </c>
      <c r="H52" s="39">
        <f>SUM(B52:G52)</f>
        <v>48100000</v>
      </c>
    </row>
    <row r="53" spans="1:8" ht="18" customHeight="1">
      <c r="A53" s="38" t="s">
        <v>72</v>
      </c>
      <c r="B53" s="19">
        <f>⑦예산집행!D8</f>
        <v>5850000</v>
      </c>
      <c r="C53" s="19">
        <f>⑦예산집행!D12</f>
        <v>5920000</v>
      </c>
      <c r="D53" s="19">
        <f>⑦예산집행!D16</f>
        <v>5780000</v>
      </c>
      <c r="E53" s="19">
        <f>⑦예산집행!D20</f>
        <v>5900000</v>
      </c>
      <c r="F53" s="19">
        <f>⑦예산집행!D24</f>
        <v>6000000</v>
      </c>
      <c r="G53" s="19">
        <f>⑦예산집행!D28</f>
        <v>6000000</v>
      </c>
      <c r="H53" s="39">
        <f>SUM(B53:G53)</f>
        <v>35450000</v>
      </c>
    </row>
    <row r="54" spans="1:8" ht="19.5" customHeight="1">
      <c r="A54" s="36" t="s">
        <v>21</v>
      </c>
      <c r="B54" s="39">
        <f t="shared" ref="B54:H54" si="2">SUM(B50:B53)</f>
        <v>48420000</v>
      </c>
      <c r="C54" s="39">
        <f t="shared" si="2"/>
        <v>43170000</v>
      </c>
      <c r="D54" s="39">
        <f t="shared" si="2"/>
        <v>51430000</v>
      </c>
      <c r="E54" s="39">
        <f t="shared" si="2"/>
        <v>44820000</v>
      </c>
      <c r="F54" s="39">
        <f t="shared" si="2"/>
        <v>47180000</v>
      </c>
      <c r="G54" s="39">
        <f t="shared" si="2"/>
        <v>47650000</v>
      </c>
      <c r="H54" s="39">
        <f t="shared" si="2"/>
        <v>282670000</v>
      </c>
    </row>
    <row r="55" spans="1:8" ht="9.75" customHeight="1"/>
    <row r="56" spans="1:8" ht="24" customHeight="1">
      <c r="A56" s="59" t="s">
        <v>73</v>
      </c>
      <c r="B56" s="59"/>
      <c r="C56" s="59"/>
      <c r="D56" s="59"/>
      <c r="E56" s="59"/>
      <c r="F56" s="59"/>
      <c r="G56" s="59"/>
      <c r="H56" s="59"/>
    </row>
    <row r="57" spans="1:8" ht="19.5" customHeight="1">
      <c r="A57" s="40" t="s">
        <v>74</v>
      </c>
      <c r="B57" s="60">
        <f>COUNTA(⑥시설물점검!A5:A100)-COUNTBLANK(⑥시설물점검!A5:A100)</f>
        <v>-66</v>
      </c>
      <c r="C57" s="60"/>
      <c r="D57" s="60"/>
      <c r="E57" s="60"/>
      <c r="F57" s="60"/>
      <c r="G57" s="60"/>
      <c r="H57" s="60"/>
    </row>
    <row r="58" spans="1:8" ht="19.5" customHeight="1">
      <c r="A58" s="40" t="s">
        <v>75</v>
      </c>
      <c r="B58" s="61">
        <f>COUNTIF(⑥시설물점검!F5:F100,"이상발견")</f>
        <v>0</v>
      </c>
      <c r="C58" s="61"/>
      <c r="D58" s="61"/>
      <c r="E58" s="61"/>
      <c r="F58" s="61"/>
      <c r="G58" s="61"/>
      <c r="H58" s="61"/>
    </row>
    <row r="59" spans="1:8" ht="19.5" customHeight="1">
      <c r="A59" s="40" t="s">
        <v>76</v>
      </c>
      <c r="B59" s="60">
        <f>COUNTA(⑥시설물점검!H5:H100)-COUNTBLANK(⑥시설물점검!H5:H100)</f>
        <v>-90</v>
      </c>
      <c r="C59" s="60"/>
      <c r="D59" s="60"/>
      <c r="E59" s="60"/>
      <c r="F59" s="60"/>
      <c r="G59" s="60"/>
      <c r="H59" s="60"/>
    </row>
    <row r="60" spans="1:8" ht="19.5" customHeight="1">
      <c r="A60" s="40" t="s">
        <v>77</v>
      </c>
      <c r="B60" s="62">
        <f>COUNTIF(②수질검사!K5:K100,"적합")/COUNTA(②수질검사!K5:K100)</f>
        <v>1</v>
      </c>
      <c r="C60" s="62"/>
      <c r="D60" s="62"/>
      <c r="E60" s="62"/>
      <c r="F60" s="62"/>
      <c r="G60" s="62"/>
      <c r="H60" s="62"/>
    </row>
  </sheetData>
  <mergeCells count="22">
    <mergeCell ref="A56:H56"/>
    <mergeCell ref="B57:H57"/>
    <mergeCell ref="B58:H58"/>
    <mergeCell ref="B59:H59"/>
    <mergeCell ref="B60:H60"/>
    <mergeCell ref="A14:H14"/>
    <mergeCell ref="A23:H23"/>
    <mergeCell ref="A31:H31"/>
    <mergeCell ref="A39:H39"/>
    <mergeCell ref="A48:H48"/>
    <mergeCell ref="A7:D9"/>
    <mergeCell ref="E7:H9"/>
    <mergeCell ref="I7:L9"/>
    <mergeCell ref="M7:P9"/>
    <mergeCell ref="A10:D10"/>
    <mergeCell ref="M10:P10"/>
    <mergeCell ref="A1:R2"/>
    <mergeCell ref="A3:R3"/>
    <mergeCell ref="A5:D6"/>
    <mergeCell ref="E5:H6"/>
    <mergeCell ref="I5:L6"/>
    <mergeCell ref="M5:P6"/>
  </mergeCells>
  <phoneticPr fontId="33" type="noConversion"/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C1"/>
    <pageSetUpPr fitToPage="1"/>
  </sheetPr>
  <dimension ref="A1:P34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/>
  <cols>
    <col min="1" max="1" width="10" customWidth="1"/>
    <col min="2" max="3" width="9" customWidth="1"/>
    <col min="4" max="5" width="14" customWidth="1"/>
    <col min="6" max="6" width="10" customWidth="1"/>
    <col min="7" max="7" width="14" customWidth="1"/>
    <col min="8" max="8" width="10" customWidth="1"/>
    <col min="9" max="10" width="14" customWidth="1"/>
  </cols>
  <sheetData>
    <row r="1" spans="1:16" ht="36" customHeight="1">
      <c r="A1" s="63" t="s">
        <v>78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1:16" ht="19.5" customHeight="1">
      <c r="A2" s="64" t="s">
        <v>79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</row>
    <row r="4" spans="1:16" ht="21.75" customHeight="1">
      <c r="A4" s="41" t="s">
        <v>80</v>
      </c>
      <c r="B4" s="41" t="s">
        <v>81</v>
      </c>
      <c r="C4" s="41" t="s">
        <v>82</v>
      </c>
      <c r="D4" s="41" t="s">
        <v>83</v>
      </c>
      <c r="E4" s="41" t="s">
        <v>84</v>
      </c>
      <c r="F4" s="41" t="s">
        <v>85</v>
      </c>
      <c r="G4" s="41" t="s">
        <v>86</v>
      </c>
      <c r="H4" s="41" t="s">
        <v>87</v>
      </c>
      <c r="I4" s="41" t="s">
        <v>88</v>
      </c>
      <c r="J4" s="41" t="s">
        <v>89</v>
      </c>
    </row>
    <row r="5" spans="1:16" ht="18" customHeight="1">
      <c r="A5" s="42" t="s">
        <v>90</v>
      </c>
      <c r="B5" s="42" t="s">
        <v>91</v>
      </c>
      <c r="C5" s="43" t="s">
        <v>16</v>
      </c>
      <c r="D5" s="18">
        <v>45000</v>
      </c>
      <c r="E5" s="18">
        <v>43200</v>
      </c>
      <c r="F5" s="30">
        <f t="shared" ref="F5:F34" si="0">E5/D5</f>
        <v>0.96</v>
      </c>
      <c r="G5" s="44"/>
      <c r="H5" s="42"/>
      <c r="I5" s="18">
        <f>SUMIF($B$5:B5,B5,$E$5:E5)</f>
        <v>43200</v>
      </c>
      <c r="J5" s="43" t="s">
        <v>92</v>
      </c>
    </row>
    <row r="6" spans="1:16" ht="18" customHeight="1">
      <c r="A6" s="45" t="s">
        <v>90</v>
      </c>
      <c r="B6" s="45" t="s">
        <v>93</v>
      </c>
      <c r="C6" s="46" t="s">
        <v>17</v>
      </c>
      <c r="D6" s="19">
        <v>32000</v>
      </c>
      <c r="E6" s="19">
        <v>31500</v>
      </c>
      <c r="F6" s="25">
        <f t="shared" si="0"/>
        <v>0.984375</v>
      </c>
      <c r="G6" s="47"/>
      <c r="H6" s="45"/>
      <c r="I6" s="19">
        <f>SUMIF($B$5:B6,B6,$E$5:E6)</f>
        <v>31500</v>
      </c>
      <c r="J6" s="45"/>
    </row>
    <row r="7" spans="1:16" ht="18" customHeight="1">
      <c r="A7" s="42" t="s">
        <v>90</v>
      </c>
      <c r="B7" s="42" t="s">
        <v>94</v>
      </c>
      <c r="C7" s="43" t="s">
        <v>18</v>
      </c>
      <c r="D7" s="18">
        <v>28000</v>
      </c>
      <c r="E7" s="18">
        <v>27800</v>
      </c>
      <c r="F7" s="30">
        <f t="shared" si="0"/>
        <v>0.99285714285714288</v>
      </c>
      <c r="G7" s="44"/>
      <c r="H7" s="42"/>
      <c r="I7" s="18">
        <f>SUMIF($B$5:B7,B7,$E$5:E7)</f>
        <v>27800</v>
      </c>
      <c r="J7" s="42"/>
    </row>
    <row r="8" spans="1:16" ht="18" customHeight="1">
      <c r="A8" s="45" t="s">
        <v>90</v>
      </c>
      <c r="B8" s="45" t="s">
        <v>95</v>
      </c>
      <c r="C8" s="46" t="s">
        <v>19</v>
      </c>
      <c r="D8" s="19">
        <v>19000</v>
      </c>
      <c r="E8" s="19">
        <v>18600</v>
      </c>
      <c r="F8" s="25">
        <f t="shared" si="0"/>
        <v>0.97894736842105268</v>
      </c>
      <c r="G8" s="47"/>
      <c r="H8" s="45"/>
      <c r="I8" s="19">
        <f>SUMIF($B$5:B8,B8,$E$5:E8)</f>
        <v>18600</v>
      </c>
      <c r="J8" s="45"/>
    </row>
    <row r="9" spans="1:16" ht="18" customHeight="1">
      <c r="A9" s="42" t="s">
        <v>90</v>
      </c>
      <c r="B9" s="42" t="s">
        <v>96</v>
      </c>
      <c r="C9" s="43" t="s">
        <v>20</v>
      </c>
      <c r="D9" s="18">
        <v>15000</v>
      </c>
      <c r="E9" s="18">
        <v>14900</v>
      </c>
      <c r="F9" s="30">
        <f t="shared" si="0"/>
        <v>0.99333333333333329</v>
      </c>
      <c r="G9" s="44"/>
      <c r="H9" s="42"/>
      <c r="I9" s="18">
        <f>SUMIF($B$5:B9,B9,$E$5:E9)</f>
        <v>14900</v>
      </c>
      <c r="J9" s="43" t="s">
        <v>97</v>
      </c>
    </row>
    <row r="10" spans="1:16" ht="18" customHeight="1">
      <c r="A10" s="45" t="s">
        <v>98</v>
      </c>
      <c r="B10" s="45" t="s">
        <v>91</v>
      </c>
      <c r="C10" s="46" t="s">
        <v>16</v>
      </c>
      <c r="D10" s="19">
        <v>45000</v>
      </c>
      <c r="E10" s="19">
        <v>44100</v>
      </c>
      <c r="F10" s="25">
        <f t="shared" si="0"/>
        <v>0.98</v>
      </c>
      <c r="G10" s="47">
        <f t="shared" ref="G10:G34" si="1">E10-E5</f>
        <v>900</v>
      </c>
      <c r="H10" s="25">
        <f t="shared" ref="H10:H34" si="2">G10/E5</f>
        <v>2.0833333333333332E-2</v>
      </c>
      <c r="I10" s="19">
        <f>SUMIF($B$5:B10,B10,$E$5:E10)</f>
        <v>87300</v>
      </c>
      <c r="J10" s="45"/>
    </row>
    <row r="11" spans="1:16" ht="18" customHeight="1">
      <c r="A11" s="42" t="s">
        <v>98</v>
      </c>
      <c r="B11" s="42" t="s">
        <v>93</v>
      </c>
      <c r="C11" s="43" t="s">
        <v>17</v>
      </c>
      <c r="D11" s="18">
        <v>32000</v>
      </c>
      <c r="E11" s="18">
        <v>31800</v>
      </c>
      <c r="F11" s="30">
        <f t="shared" si="0"/>
        <v>0.99375000000000002</v>
      </c>
      <c r="G11" s="44">
        <f t="shared" si="1"/>
        <v>300</v>
      </c>
      <c r="H11" s="30">
        <f t="shared" si="2"/>
        <v>9.5238095238095247E-3</v>
      </c>
      <c r="I11" s="18">
        <f>SUMIF($B$5:B11,B11,$E$5:E11)</f>
        <v>63300</v>
      </c>
      <c r="J11" s="42"/>
    </row>
    <row r="12" spans="1:16" ht="18" customHeight="1">
      <c r="A12" s="45" t="s">
        <v>98</v>
      </c>
      <c r="B12" s="45" t="s">
        <v>94</v>
      </c>
      <c r="C12" s="46" t="s">
        <v>18</v>
      </c>
      <c r="D12" s="19">
        <v>28000</v>
      </c>
      <c r="E12" s="19">
        <v>28200</v>
      </c>
      <c r="F12" s="25">
        <f t="shared" si="0"/>
        <v>1.0071428571428571</v>
      </c>
      <c r="G12" s="47">
        <f t="shared" si="1"/>
        <v>400</v>
      </c>
      <c r="H12" s="25">
        <f t="shared" si="2"/>
        <v>1.4388489208633094E-2</v>
      </c>
      <c r="I12" s="19">
        <f>SUMIF($B$5:B12,B12,$E$5:E12)</f>
        <v>56000</v>
      </c>
      <c r="J12" s="45"/>
    </row>
    <row r="13" spans="1:16" ht="18" customHeight="1">
      <c r="A13" s="42" t="s">
        <v>98</v>
      </c>
      <c r="B13" s="42" t="s">
        <v>95</v>
      </c>
      <c r="C13" s="43" t="s">
        <v>19</v>
      </c>
      <c r="D13" s="18">
        <v>19000</v>
      </c>
      <c r="E13" s="18">
        <v>18900</v>
      </c>
      <c r="F13" s="30">
        <f t="shared" si="0"/>
        <v>0.99473684210526314</v>
      </c>
      <c r="G13" s="44">
        <f t="shared" si="1"/>
        <v>300</v>
      </c>
      <c r="H13" s="30">
        <f t="shared" si="2"/>
        <v>1.6129032258064516E-2</v>
      </c>
      <c r="I13" s="18">
        <f>SUMIF($B$5:B13,B13,$E$5:E13)</f>
        <v>37500</v>
      </c>
      <c r="J13" s="42"/>
    </row>
    <row r="14" spans="1:16" ht="18" customHeight="1">
      <c r="A14" s="45" t="s">
        <v>98</v>
      </c>
      <c r="B14" s="45" t="s">
        <v>96</v>
      </c>
      <c r="C14" s="46" t="s">
        <v>20</v>
      </c>
      <c r="D14" s="19">
        <v>15000</v>
      </c>
      <c r="E14" s="19">
        <v>15100</v>
      </c>
      <c r="F14" s="25">
        <f t="shared" si="0"/>
        <v>1.0066666666666666</v>
      </c>
      <c r="G14" s="47">
        <f t="shared" si="1"/>
        <v>200</v>
      </c>
      <c r="H14" s="25">
        <f t="shared" si="2"/>
        <v>1.3422818791946308E-2</v>
      </c>
      <c r="I14" s="19">
        <f>SUMIF($B$5:B14,B14,$E$5:E14)</f>
        <v>30000</v>
      </c>
      <c r="J14" s="45"/>
    </row>
    <row r="15" spans="1:16" ht="18" customHeight="1">
      <c r="A15" s="42" t="s">
        <v>99</v>
      </c>
      <c r="B15" s="42" t="s">
        <v>91</v>
      </c>
      <c r="C15" s="43" t="s">
        <v>16</v>
      </c>
      <c r="D15" s="18">
        <v>47000</v>
      </c>
      <c r="E15" s="18">
        <v>46200</v>
      </c>
      <c r="F15" s="30">
        <f t="shared" si="0"/>
        <v>0.98297872340425529</v>
      </c>
      <c r="G15" s="44">
        <f t="shared" si="1"/>
        <v>2100</v>
      </c>
      <c r="H15" s="30">
        <f t="shared" si="2"/>
        <v>4.7619047619047616E-2</v>
      </c>
      <c r="I15" s="18">
        <f>SUMIF($B$5:B15,B15,$E$5:E15)</f>
        <v>133500</v>
      </c>
      <c r="J15" s="42"/>
    </row>
    <row r="16" spans="1:16" ht="18" customHeight="1">
      <c r="A16" s="45" t="s">
        <v>99</v>
      </c>
      <c r="B16" s="45" t="s">
        <v>93</v>
      </c>
      <c r="C16" s="46" t="s">
        <v>17</v>
      </c>
      <c r="D16" s="19">
        <v>33000</v>
      </c>
      <c r="E16" s="19">
        <v>32700</v>
      </c>
      <c r="F16" s="25">
        <f t="shared" si="0"/>
        <v>0.99090909090909096</v>
      </c>
      <c r="G16" s="47">
        <f t="shared" si="1"/>
        <v>900</v>
      </c>
      <c r="H16" s="25">
        <f t="shared" si="2"/>
        <v>2.8301886792452831E-2</v>
      </c>
      <c r="I16" s="19">
        <f>SUMIF($B$5:B16,B16,$E$5:E16)</f>
        <v>96000</v>
      </c>
      <c r="J16" s="45"/>
    </row>
    <row r="17" spans="1:10" ht="18" customHeight="1">
      <c r="A17" s="42" t="s">
        <v>99</v>
      </c>
      <c r="B17" s="42" t="s">
        <v>94</v>
      </c>
      <c r="C17" s="43" t="s">
        <v>18</v>
      </c>
      <c r="D17" s="18">
        <v>29000</v>
      </c>
      <c r="E17" s="18">
        <v>28900</v>
      </c>
      <c r="F17" s="30">
        <f t="shared" si="0"/>
        <v>0.99655172413793103</v>
      </c>
      <c r="G17" s="44">
        <f t="shared" si="1"/>
        <v>700</v>
      </c>
      <c r="H17" s="30">
        <f t="shared" si="2"/>
        <v>2.4822695035460994E-2</v>
      </c>
      <c r="I17" s="18">
        <f>SUMIF($B$5:B17,B17,$E$5:E17)</f>
        <v>84900</v>
      </c>
      <c r="J17" s="42"/>
    </row>
    <row r="18" spans="1:10" ht="18" customHeight="1">
      <c r="A18" s="45" t="s">
        <v>99</v>
      </c>
      <c r="B18" s="45" t="s">
        <v>95</v>
      </c>
      <c r="C18" s="46" t="s">
        <v>19</v>
      </c>
      <c r="D18" s="19">
        <v>20000</v>
      </c>
      <c r="E18" s="19">
        <v>19800</v>
      </c>
      <c r="F18" s="25">
        <f t="shared" si="0"/>
        <v>0.99</v>
      </c>
      <c r="G18" s="47">
        <f t="shared" si="1"/>
        <v>900</v>
      </c>
      <c r="H18" s="25">
        <f t="shared" si="2"/>
        <v>4.7619047619047616E-2</v>
      </c>
      <c r="I18" s="19">
        <f>SUMIF($B$5:B18,B18,$E$5:E18)</f>
        <v>57300</v>
      </c>
      <c r="J18" s="45"/>
    </row>
    <row r="19" spans="1:10" ht="18" customHeight="1">
      <c r="A19" s="42" t="s">
        <v>99</v>
      </c>
      <c r="B19" s="42" t="s">
        <v>96</v>
      </c>
      <c r="C19" s="43" t="s">
        <v>20</v>
      </c>
      <c r="D19" s="18">
        <v>16000</v>
      </c>
      <c r="E19" s="18">
        <v>15900</v>
      </c>
      <c r="F19" s="30">
        <f t="shared" si="0"/>
        <v>0.99375000000000002</v>
      </c>
      <c r="G19" s="44">
        <f t="shared" si="1"/>
        <v>800</v>
      </c>
      <c r="H19" s="30">
        <f t="shared" si="2"/>
        <v>5.2980132450331126E-2</v>
      </c>
      <c r="I19" s="18">
        <f>SUMIF($B$5:B19,B19,$E$5:E19)</f>
        <v>45900</v>
      </c>
      <c r="J19" s="42"/>
    </row>
    <row r="20" spans="1:10" ht="18" customHeight="1">
      <c r="A20" s="45" t="s">
        <v>100</v>
      </c>
      <c r="B20" s="45" t="s">
        <v>91</v>
      </c>
      <c r="C20" s="46" t="s">
        <v>16</v>
      </c>
      <c r="D20" s="19">
        <v>48000</v>
      </c>
      <c r="E20" s="19">
        <v>47500</v>
      </c>
      <c r="F20" s="25">
        <f t="shared" si="0"/>
        <v>0.98958333333333337</v>
      </c>
      <c r="G20" s="47">
        <f t="shared" si="1"/>
        <v>1300</v>
      </c>
      <c r="H20" s="25">
        <f t="shared" si="2"/>
        <v>2.813852813852814E-2</v>
      </c>
      <c r="I20" s="19">
        <f>SUMIF($B$5:B20,B20,$E$5:E20)</f>
        <v>181000</v>
      </c>
      <c r="J20" s="45"/>
    </row>
    <row r="21" spans="1:10" ht="18" customHeight="1">
      <c r="A21" s="42" t="s">
        <v>100</v>
      </c>
      <c r="B21" s="42" t="s">
        <v>93</v>
      </c>
      <c r="C21" s="43" t="s">
        <v>17</v>
      </c>
      <c r="D21" s="18">
        <v>34000</v>
      </c>
      <c r="E21" s="18">
        <v>33600</v>
      </c>
      <c r="F21" s="30">
        <f t="shared" si="0"/>
        <v>0.9882352941176471</v>
      </c>
      <c r="G21" s="44">
        <f t="shared" si="1"/>
        <v>900</v>
      </c>
      <c r="H21" s="30">
        <f t="shared" si="2"/>
        <v>2.7522935779816515E-2</v>
      </c>
      <c r="I21" s="18">
        <f>SUMIF($B$5:B21,B21,$E$5:E21)</f>
        <v>129600</v>
      </c>
      <c r="J21" s="42"/>
    </row>
    <row r="22" spans="1:10" ht="18" customHeight="1">
      <c r="A22" s="45" t="s">
        <v>100</v>
      </c>
      <c r="B22" s="45" t="s">
        <v>94</v>
      </c>
      <c r="C22" s="46" t="s">
        <v>18</v>
      </c>
      <c r="D22" s="19">
        <v>30000</v>
      </c>
      <c r="E22" s="19">
        <v>29800</v>
      </c>
      <c r="F22" s="25">
        <f t="shared" si="0"/>
        <v>0.99333333333333329</v>
      </c>
      <c r="G22" s="47">
        <f t="shared" si="1"/>
        <v>900</v>
      </c>
      <c r="H22" s="25">
        <f t="shared" si="2"/>
        <v>3.1141868512110725E-2</v>
      </c>
      <c r="I22" s="19">
        <f>SUMIF($B$5:B22,B22,$E$5:E22)</f>
        <v>114700</v>
      </c>
      <c r="J22" s="45"/>
    </row>
    <row r="23" spans="1:10" ht="18" customHeight="1">
      <c r="A23" s="42" t="s">
        <v>100</v>
      </c>
      <c r="B23" s="42" t="s">
        <v>95</v>
      </c>
      <c r="C23" s="43" t="s">
        <v>19</v>
      </c>
      <c r="D23" s="18">
        <v>21000</v>
      </c>
      <c r="E23" s="18">
        <v>20700</v>
      </c>
      <c r="F23" s="30">
        <f t="shared" si="0"/>
        <v>0.98571428571428577</v>
      </c>
      <c r="G23" s="44">
        <f t="shared" si="1"/>
        <v>900</v>
      </c>
      <c r="H23" s="30">
        <f t="shared" si="2"/>
        <v>4.5454545454545456E-2</v>
      </c>
      <c r="I23" s="18">
        <f>SUMIF($B$5:B23,B23,$E$5:E23)</f>
        <v>78000</v>
      </c>
      <c r="J23" s="42"/>
    </row>
    <row r="24" spans="1:10" ht="18" customHeight="1">
      <c r="A24" s="45" t="s">
        <v>100</v>
      </c>
      <c r="B24" s="45" t="s">
        <v>96</v>
      </c>
      <c r="C24" s="46" t="s">
        <v>20</v>
      </c>
      <c r="D24" s="19">
        <v>17000</v>
      </c>
      <c r="E24" s="19">
        <v>16800</v>
      </c>
      <c r="F24" s="25">
        <f t="shared" si="0"/>
        <v>0.9882352941176471</v>
      </c>
      <c r="G24" s="47">
        <f t="shared" si="1"/>
        <v>900</v>
      </c>
      <c r="H24" s="25">
        <f t="shared" si="2"/>
        <v>5.6603773584905662E-2</v>
      </c>
      <c r="I24" s="19">
        <f>SUMIF($B$5:B24,B24,$E$5:E24)</f>
        <v>62700</v>
      </c>
      <c r="J24" s="45"/>
    </row>
    <row r="25" spans="1:10" ht="18" customHeight="1">
      <c r="A25" s="42" t="s">
        <v>101</v>
      </c>
      <c r="B25" s="42" t="s">
        <v>91</v>
      </c>
      <c r="C25" s="43" t="s">
        <v>16</v>
      </c>
      <c r="D25" s="18">
        <v>50000</v>
      </c>
      <c r="E25" s="18">
        <v>49100</v>
      </c>
      <c r="F25" s="30">
        <f t="shared" si="0"/>
        <v>0.98199999999999998</v>
      </c>
      <c r="G25" s="44">
        <f t="shared" si="1"/>
        <v>1600</v>
      </c>
      <c r="H25" s="30">
        <f t="shared" si="2"/>
        <v>3.3684210526315789E-2</v>
      </c>
      <c r="I25" s="18">
        <f>SUMIF($B$5:B25,B25,$E$5:E25)</f>
        <v>230100</v>
      </c>
      <c r="J25" s="43" t="s">
        <v>102</v>
      </c>
    </row>
    <row r="26" spans="1:10" ht="18" customHeight="1">
      <c r="A26" s="45" t="s">
        <v>101</v>
      </c>
      <c r="B26" s="45" t="s">
        <v>93</v>
      </c>
      <c r="C26" s="46" t="s">
        <v>17</v>
      </c>
      <c r="D26" s="19">
        <v>35000</v>
      </c>
      <c r="E26" s="19">
        <v>34500</v>
      </c>
      <c r="F26" s="25">
        <f t="shared" si="0"/>
        <v>0.98571428571428577</v>
      </c>
      <c r="G26" s="47">
        <f t="shared" si="1"/>
        <v>900</v>
      </c>
      <c r="H26" s="25">
        <f t="shared" si="2"/>
        <v>2.6785714285714284E-2</v>
      </c>
      <c r="I26" s="19">
        <f>SUMIF($B$5:B26,B26,$E$5:E26)</f>
        <v>164100</v>
      </c>
      <c r="J26" s="45"/>
    </row>
    <row r="27" spans="1:10" ht="18" customHeight="1">
      <c r="A27" s="42" t="s">
        <v>101</v>
      </c>
      <c r="B27" s="42" t="s">
        <v>94</v>
      </c>
      <c r="C27" s="43" t="s">
        <v>18</v>
      </c>
      <c r="D27" s="18">
        <v>31000</v>
      </c>
      <c r="E27" s="18">
        <v>30600</v>
      </c>
      <c r="F27" s="30">
        <f t="shared" si="0"/>
        <v>0.98709677419354835</v>
      </c>
      <c r="G27" s="44">
        <f t="shared" si="1"/>
        <v>800</v>
      </c>
      <c r="H27" s="30">
        <f t="shared" si="2"/>
        <v>2.6845637583892617E-2</v>
      </c>
      <c r="I27" s="18">
        <f>SUMIF($B$5:B27,B27,$E$5:E27)</f>
        <v>145300</v>
      </c>
      <c r="J27" s="42"/>
    </row>
    <row r="28" spans="1:10" ht="18" customHeight="1">
      <c r="A28" s="45" t="s">
        <v>101</v>
      </c>
      <c r="B28" s="45" t="s">
        <v>95</v>
      </c>
      <c r="C28" s="46" t="s">
        <v>19</v>
      </c>
      <c r="D28" s="19">
        <v>22000</v>
      </c>
      <c r="E28" s="19">
        <v>21800</v>
      </c>
      <c r="F28" s="25">
        <f t="shared" si="0"/>
        <v>0.99090909090909096</v>
      </c>
      <c r="G28" s="47">
        <f t="shared" si="1"/>
        <v>1100</v>
      </c>
      <c r="H28" s="25">
        <f t="shared" si="2"/>
        <v>5.3140096618357488E-2</v>
      </c>
      <c r="I28" s="19">
        <f>SUMIF($B$5:B28,B28,$E$5:E28)</f>
        <v>99800</v>
      </c>
      <c r="J28" s="45"/>
    </row>
    <row r="29" spans="1:10" ht="18" customHeight="1">
      <c r="A29" s="42" t="s">
        <v>101</v>
      </c>
      <c r="B29" s="42" t="s">
        <v>96</v>
      </c>
      <c r="C29" s="43" t="s">
        <v>20</v>
      </c>
      <c r="D29" s="18">
        <v>18000</v>
      </c>
      <c r="E29" s="18">
        <v>17900</v>
      </c>
      <c r="F29" s="30">
        <f t="shared" si="0"/>
        <v>0.99444444444444446</v>
      </c>
      <c r="G29" s="44">
        <f t="shared" si="1"/>
        <v>1100</v>
      </c>
      <c r="H29" s="30">
        <f t="shared" si="2"/>
        <v>6.5476190476190479E-2</v>
      </c>
      <c r="I29" s="18">
        <f>SUMIF($B$5:B29,B29,$E$5:E29)</f>
        <v>80600</v>
      </c>
      <c r="J29" s="42"/>
    </row>
    <row r="30" spans="1:10" ht="18" customHeight="1">
      <c r="A30" s="45" t="s">
        <v>103</v>
      </c>
      <c r="B30" s="45" t="s">
        <v>91</v>
      </c>
      <c r="C30" s="46" t="s">
        <v>16</v>
      </c>
      <c r="D30" s="19">
        <v>52000</v>
      </c>
      <c r="E30" s="19">
        <v>51200</v>
      </c>
      <c r="F30" s="25">
        <f t="shared" si="0"/>
        <v>0.98461538461538467</v>
      </c>
      <c r="G30" s="47">
        <f t="shared" si="1"/>
        <v>2100</v>
      </c>
      <c r="H30" s="25">
        <f t="shared" si="2"/>
        <v>4.2769857433808553E-2</v>
      </c>
      <c r="I30" s="19">
        <f>SUMIF($B$5:B30,B30,$E$5:E30)</f>
        <v>281300</v>
      </c>
      <c r="J30" s="45"/>
    </row>
    <row r="31" spans="1:10" ht="18" customHeight="1">
      <c r="A31" s="42" t="s">
        <v>103</v>
      </c>
      <c r="B31" s="42" t="s">
        <v>93</v>
      </c>
      <c r="C31" s="43" t="s">
        <v>17</v>
      </c>
      <c r="D31" s="18">
        <v>36000</v>
      </c>
      <c r="E31" s="18">
        <v>35400</v>
      </c>
      <c r="F31" s="30">
        <f t="shared" si="0"/>
        <v>0.98333333333333328</v>
      </c>
      <c r="G31" s="44">
        <f t="shared" si="1"/>
        <v>900</v>
      </c>
      <c r="H31" s="30">
        <f t="shared" si="2"/>
        <v>2.6086956521739129E-2</v>
      </c>
      <c r="I31" s="18">
        <f>SUMIF($B$5:B31,B31,$E$5:E31)</f>
        <v>199500</v>
      </c>
      <c r="J31" s="42"/>
    </row>
    <row r="32" spans="1:10" ht="18" customHeight="1">
      <c r="A32" s="45" t="s">
        <v>103</v>
      </c>
      <c r="B32" s="45" t="s">
        <v>94</v>
      </c>
      <c r="C32" s="46" t="s">
        <v>18</v>
      </c>
      <c r="D32" s="19">
        <v>32000</v>
      </c>
      <c r="E32" s="19">
        <v>31500</v>
      </c>
      <c r="F32" s="25">
        <f t="shared" si="0"/>
        <v>0.984375</v>
      </c>
      <c r="G32" s="47">
        <f t="shared" si="1"/>
        <v>900</v>
      </c>
      <c r="H32" s="25">
        <f t="shared" si="2"/>
        <v>2.9411764705882353E-2</v>
      </c>
      <c r="I32" s="19">
        <f>SUMIF($B$5:B32,B32,$E$5:E32)</f>
        <v>176800</v>
      </c>
      <c r="J32" s="45"/>
    </row>
    <row r="33" spans="1:10" ht="18" customHeight="1">
      <c r="A33" s="42" t="s">
        <v>103</v>
      </c>
      <c r="B33" s="42" t="s">
        <v>95</v>
      </c>
      <c r="C33" s="43" t="s">
        <v>19</v>
      </c>
      <c r="D33" s="18">
        <v>23000</v>
      </c>
      <c r="E33" s="18">
        <v>22600</v>
      </c>
      <c r="F33" s="30">
        <f t="shared" si="0"/>
        <v>0.9826086956521739</v>
      </c>
      <c r="G33" s="44">
        <f t="shared" si="1"/>
        <v>800</v>
      </c>
      <c r="H33" s="30">
        <f t="shared" si="2"/>
        <v>3.669724770642202E-2</v>
      </c>
      <c r="I33" s="18">
        <f>SUMIF($B$5:B33,B33,$E$5:E33)</f>
        <v>122400</v>
      </c>
      <c r="J33" s="42"/>
    </row>
    <row r="34" spans="1:10" ht="18" customHeight="1">
      <c r="A34" s="45" t="s">
        <v>103</v>
      </c>
      <c r="B34" s="45" t="s">
        <v>96</v>
      </c>
      <c r="C34" s="46" t="s">
        <v>20</v>
      </c>
      <c r="D34" s="19">
        <v>19000</v>
      </c>
      <c r="E34" s="19">
        <v>18700</v>
      </c>
      <c r="F34" s="25">
        <f t="shared" si="0"/>
        <v>0.98421052631578942</v>
      </c>
      <c r="G34" s="47">
        <f t="shared" si="1"/>
        <v>800</v>
      </c>
      <c r="H34" s="25">
        <f t="shared" si="2"/>
        <v>4.4692737430167599E-2</v>
      </c>
      <c r="I34" s="19">
        <f>SUMIF($B$5:B34,B34,$E$5:E34)</f>
        <v>99300</v>
      </c>
      <c r="J34" s="46" t="s">
        <v>104</v>
      </c>
    </row>
  </sheetData>
  <mergeCells count="2">
    <mergeCell ref="A1:P1"/>
    <mergeCell ref="A2:P2"/>
  </mergeCells>
  <phoneticPr fontId="33" type="noConversion"/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BC9C"/>
    <pageSetUpPr fitToPage="1"/>
  </sheetPr>
  <dimension ref="A1:P22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/>
  <cols>
    <col min="1" max="1" width="11" customWidth="1"/>
    <col min="2" max="2" width="14" customWidth="1"/>
    <col min="3" max="3" width="13" customWidth="1"/>
    <col min="4" max="4" width="8" customWidth="1"/>
    <col min="5" max="5" width="10" customWidth="1"/>
    <col min="6" max="6" width="8" customWidth="1"/>
    <col min="7" max="7" width="12" customWidth="1"/>
    <col min="8" max="8" width="14" customWidth="1"/>
    <col min="9" max="9" width="10" customWidth="1"/>
    <col min="10" max="11" width="8" customWidth="1"/>
    <col min="12" max="12" width="14" customWidth="1"/>
  </cols>
  <sheetData>
    <row r="1" spans="1:16" ht="36" customHeight="1">
      <c r="A1" s="65" t="s">
        <v>105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</row>
    <row r="2" spans="1:16" ht="19.5" customHeight="1">
      <c r="A2" s="66" t="s">
        <v>79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</row>
    <row r="4" spans="1:16" ht="21.75" customHeight="1">
      <c r="A4" s="48" t="s">
        <v>106</v>
      </c>
      <c r="B4" s="48" t="s">
        <v>107</v>
      </c>
      <c r="C4" s="48" t="s">
        <v>108</v>
      </c>
      <c r="D4" s="49" t="s">
        <v>109</v>
      </c>
      <c r="E4" s="48" t="s">
        <v>110</v>
      </c>
      <c r="F4" s="48" t="s">
        <v>111</v>
      </c>
      <c r="G4" s="48" t="s">
        <v>112</v>
      </c>
      <c r="H4" s="48" t="s">
        <v>113</v>
      </c>
      <c r="I4" s="48" t="s">
        <v>114</v>
      </c>
      <c r="J4" s="48" t="s">
        <v>115</v>
      </c>
      <c r="K4" s="48" t="s">
        <v>116</v>
      </c>
      <c r="L4" s="48" t="s">
        <v>89</v>
      </c>
    </row>
    <row r="5" spans="1:16" ht="18" customHeight="1">
      <c r="A5" s="42" t="s">
        <v>117</v>
      </c>
      <c r="B5" s="43" t="s">
        <v>118</v>
      </c>
      <c r="C5" s="42" t="s">
        <v>119</v>
      </c>
      <c r="D5" s="42" t="s">
        <v>120</v>
      </c>
      <c r="E5" s="42" t="s">
        <v>121</v>
      </c>
      <c r="F5" s="42" t="s">
        <v>122</v>
      </c>
      <c r="G5" s="43" t="s">
        <v>123</v>
      </c>
      <c r="H5" s="42" t="s">
        <v>124</v>
      </c>
      <c r="I5" s="43" t="s">
        <v>125</v>
      </c>
      <c r="J5" s="43" t="s">
        <v>125</v>
      </c>
      <c r="K5" s="43" t="s">
        <v>126</v>
      </c>
      <c r="L5" s="42"/>
    </row>
    <row r="6" spans="1:16" ht="18" customHeight="1">
      <c r="A6" s="45" t="s">
        <v>117</v>
      </c>
      <c r="B6" s="46" t="s">
        <v>127</v>
      </c>
      <c r="C6" s="45" t="s">
        <v>128</v>
      </c>
      <c r="D6" s="45" t="s">
        <v>129</v>
      </c>
      <c r="E6" s="45" t="s">
        <v>130</v>
      </c>
      <c r="F6" s="45" t="s">
        <v>122</v>
      </c>
      <c r="G6" s="46" t="s">
        <v>123</v>
      </c>
      <c r="H6" s="45" t="s">
        <v>124</v>
      </c>
      <c r="I6" s="46" t="s">
        <v>125</v>
      </c>
      <c r="J6" s="46" t="s">
        <v>125</v>
      </c>
      <c r="K6" s="46" t="s">
        <v>126</v>
      </c>
      <c r="L6" s="45"/>
    </row>
    <row r="7" spans="1:16" ht="18" customHeight="1">
      <c r="A7" s="42" t="s">
        <v>117</v>
      </c>
      <c r="B7" s="43" t="s">
        <v>131</v>
      </c>
      <c r="C7" s="42" t="s">
        <v>132</v>
      </c>
      <c r="D7" s="42" t="s">
        <v>133</v>
      </c>
      <c r="E7" s="42" t="s">
        <v>134</v>
      </c>
      <c r="F7" s="42" t="s">
        <v>135</v>
      </c>
      <c r="G7" s="43" t="s">
        <v>123</v>
      </c>
      <c r="H7" s="42" t="s">
        <v>122</v>
      </c>
      <c r="I7" s="43" t="s">
        <v>125</v>
      </c>
      <c r="J7" s="43" t="s">
        <v>125</v>
      </c>
      <c r="K7" s="43" t="s">
        <v>126</v>
      </c>
      <c r="L7" s="42"/>
    </row>
    <row r="8" spans="1:16" ht="18" customHeight="1">
      <c r="A8" s="45" t="s">
        <v>136</v>
      </c>
      <c r="B8" s="46" t="s">
        <v>118</v>
      </c>
      <c r="C8" s="45" t="s">
        <v>137</v>
      </c>
      <c r="D8" s="45" t="s">
        <v>138</v>
      </c>
      <c r="E8" s="45" t="s">
        <v>139</v>
      </c>
      <c r="F8" s="45" t="s">
        <v>122</v>
      </c>
      <c r="G8" s="46" t="s">
        <v>123</v>
      </c>
      <c r="H8" s="45" t="s">
        <v>124</v>
      </c>
      <c r="I8" s="46" t="s">
        <v>125</v>
      </c>
      <c r="J8" s="46" t="s">
        <v>125</v>
      </c>
      <c r="K8" s="46" t="s">
        <v>126</v>
      </c>
      <c r="L8" s="45"/>
    </row>
    <row r="9" spans="1:16" ht="18" customHeight="1">
      <c r="A9" s="42" t="s">
        <v>136</v>
      </c>
      <c r="B9" s="43" t="s">
        <v>127</v>
      </c>
      <c r="C9" s="42" t="s">
        <v>140</v>
      </c>
      <c r="D9" s="42" t="s">
        <v>120</v>
      </c>
      <c r="E9" s="42" t="s">
        <v>141</v>
      </c>
      <c r="F9" s="42" t="s">
        <v>122</v>
      </c>
      <c r="G9" s="43" t="s">
        <v>123</v>
      </c>
      <c r="H9" s="42" t="s">
        <v>124</v>
      </c>
      <c r="I9" s="43" t="s">
        <v>125</v>
      </c>
      <c r="J9" s="43" t="s">
        <v>125</v>
      </c>
      <c r="K9" s="43" t="s">
        <v>126</v>
      </c>
      <c r="L9" s="42"/>
    </row>
    <row r="10" spans="1:16" ht="18" customHeight="1">
      <c r="A10" s="45" t="s">
        <v>136</v>
      </c>
      <c r="B10" s="46" t="s">
        <v>142</v>
      </c>
      <c r="C10" s="45" t="s">
        <v>143</v>
      </c>
      <c r="D10" s="45" t="s">
        <v>144</v>
      </c>
      <c r="E10" s="45" t="s">
        <v>145</v>
      </c>
      <c r="F10" s="45" t="s">
        <v>135</v>
      </c>
      <c r="G10" s="46" t="s">
        <v>123</v>
      </c>
      <c r="H10" s="45" t="s">
        <v>135</v>
      </c>
      <c r="I10" s="46" t="s">
        <v>125</v>
      </c>
      <c r="J10" s="46" t="s">
        <v>125</v>
      </c>
      <c r="K10" s="46" t="s">
        <v>126</v>
      </c>
      <c r="L10" s="46" t="s">
        <v>146</v>
      </c>
    </row>
    <row r="11" spans="1:16" ht="18" customHeight="1">
      <c r="A11" s="42" t="s">
        <v>147</v>
      </c>
      <c r="B11" s="43" t="s">
        <v>118</v>
      </c>
      <c r="C11" s="42" t="s">
        <v>148</v>
      </c>
      <c r="D11" s="42" t="s">
        <v>149</v>
      </c>
      <c r="E11" s="42" t="s">
        <v>150</v>
      </c>
      <c r="F11" s="42" t="s">
        <v>122</v>
      </c>
      <c r="G11" s="43" t="s">
        <v>123</v>
      </c>
      <c r="H11" s="42" t="s">
        <v>124</v>
      </c>
      <c r="I11" s="43" t="s">
        <v>125</v>
      </c>
      <c r="J11" s="43" t="s">
        <v>125</v>
      </c>
      <c r="K11" s="43" t="s">
        <v>126</v>
      </c>
      <c r="L11" s="42"/>
    </row>
    <row r="12" spans="1:16" ht="18" customHeight="1">
      <c r="A12" s="45" t="s">
        <v>147</v>
      </c>
      <c r="B12" s="46" t="s">
        <v>127</v>
      </c>
      <c r="C12" s="45" t="s">
        <v>151</v>
      </c>
      <c r="D12" s="45" t="s">
        <v>120</v>
      </c>
      <c r="E12" s="45" t="s">
        <v>152</v>
      </c>
      <c r="F12" s="45" t="s">
        <v>122</v>
      </c>
      <c r="G12" s="46" t="s">
        <v>123</v>
      </c>
      <c r="H12" s="45" t="s">
        <v>124</v>
      </c>
      <c r="I12" s="46" t="s">
        <v>125</v>
      </c>
      <c r="J12" s="46" t="s">
        <v>125</v>
      </c>
      <c r="K12" s="46" t="s">
        <v>126</v>
      </c>
      <c r="L12" s="45"/>
    </row>
    <row r="13" spans="1:16" ht="18" customHeight="1">
      <c r="A13" s="42" t="s">
        <v>147</v>
      </c>
      <c r="B13" s="43" t="s">
        <v>153</v>
      </c>
      <c r="C13" s="42" t="s">
        <v>134</v>
      </c>
      <c r="D13" s="42" t="s">
        <v>129</v>
      </c>
      <c r="E13" s="42" t="s">
        <v>154</v>
      </c>
      <c r="F13" s="42" t="s">
        <v>122</v>
      </c>
      <c r="G13" s="43" t="s">
        <v>123</v>
      </c>
      <c r="H13" s="42" t="s">
        <v>124</v>
      </c>
      <c r="I13" s="43" t="s">
        <v>125</v>
      </c>
      <c r="J13" s="43" t="s">
        <v>125</v>
      </c>
      <c r="K13" s="43" t="s">
        <v>126</v>
      </c>
      <c r="L13" s="42"/>
    </row>
    <row r="14" spans="1:16" ht="18" customHeight="1">
      <c r="A14" s="45" t="s">
        <v>155</v>
      </c>
      <c r="B14" s="46" t="s">
        <v>118</v>
      </c>
      <c r="C14" s="45" t="s">
        <v>156</v>
      </c>
      <c r="D14" s="45" t="s">
        <v>157</v>
      </c>
      <c r="E14" s="45" t="s">
        <v>158</v>
      </c>
      <c r="F14" s="45" t="s">
        <v>122</v>
      </c>
      <c r="G14" s="46" t="s">
        <v>123</v>
      </c>
      <c r="H14" s="45" t="s">
        <v>124</v>
      </c>
      <c r="I14" s="46" t="s">
        <v>125</v>
      </c>
      <c r="J14" s="46" t="s">
        <v>125</v>
      </c>
      <c r="K14" s="46" t="s">
        <v>126</v>
      </c>
      <c r="L14" s="45"/>
    </row>
    <row r="15" spans="1:16" ht="18" customHeight="1">
      <c r="A15" s="42" t="s">
        <v>155</v>
      </c>
      <c r="B15" s="43" t="s">
        <v>127</v>
      </c>
      <c r="C15" s="42" t="s">
        <v>159</v>
      </c>
      <c r="D15" s="42" t="s">
        <v>138</v>
      </c>
      <c r="E15" s="42" t="s">
        <v>121</v>
      </c>
      <c r="F15" s="42" t="s">
        <v>122</v>
      </c>
      <c r="G15" s="43" t="s">
        <v>123</v>
      </c>
      <c r="H15" s="42" t="s">
        <v>124</v>
      </c>
      <c r="I15" s="43" t="s">
        <v>125</v>
      </c>
      <c r="J15" s="43" t="s">
        <v>125</v>
      </c>
      <c r="K15" s="43" t="s">
        <v>126</v>
      </c>
      <c r="L15" s="42"/>
    </row>
    <row r="16" spans="1:16" ht="18" customHeight="1">
      <c r="A16" s="45" t="s">
        <v>155</v>
      </c>
      <c r="B16" s="46" t="s">
        <v>160</v>
      </c>
      <c r="C16" s="45" t="s">
        <v>161</v>
      </c>
      <c r="D16" s="45" t="s">
        <v>129</v>
      </c>
      <c r="E16" s="45" t="s">
        <v>162</v>
      </c>
      <c r="F16" s="45" t="s">
        <v>122</v>
      </c>
      <c r="G16" s="46" t="s">
        <v>123</v>
      </c>
      <c r="H16" s="45" t="s">
        <v>124</v>
      </c>
      <c r="I16" s="46" t="s">
        <v>125</v>
      </c>
      <c r="J16" s="46" t="s">
        <v>125</v>
      </c>
      <c r="K16" s="46" t="s">
        <v>126</v>
      </c>
      <c r="L16" s="45"/>
    </row>
    <row r="17" spans="1:12" ht="18" customHeight="1">
      <c r="A17" s="42" t="s">
        <v>163</v>
      </c>
      <c r="B17" s="43" t="s">
        <v>118</v>
      </c>
      <c r="C17" s="42" t="s">
        <v>164</v>
      </c>
      <c r="D17" s="42" t="s">
        <v>157</v>
      </c>
      <c r="E17" s="42" t="s">
        <v>165</v>
      </c>
      <c r="F17" s="42" t="s">
        <v>122</v>
      </c>
      <c r="G17" s="43" t="s">
        <v>123</v>
      </c>
      <c r="H17" s="42" t="s">
        <v>124</v>
      </c>
      <c r="I17" s="43" t="s">
        <v>125</v>
      </c>
      <c r="J17" s="43" t="s">
        <v>125</v>
      </c>
      <c r="K17" s="43" t="s">
        <v>126</v>
      </c>
      <c r="L17" s="42"/>
    </row>
    <row r="18" spans="1:12" ht="18" customHeight="1">
      <c r="A18" s="45" t="s">
        <v>163</v>
      </c>
      <c r="B18" s="46" t="s">
        <v>166</v>
      </c>
      <c r="C18" s="45" t="s">
        <v>167</v>
      </c>
      <c r="D18" s="45" t="s">
        <v>120</v>
      </c>
      <c r="E18" s="45" t="s">
        <v>168</v>
      </c>
      <c r="F18" s="45" t="s">
        <v>135</v>
      </c>
      <c r="G18" s="46" t="s">
        <v>123</v>
      </c>
      <c r="H18" s="45" t="s">
        <v>122</v>
      </c>
      <c r="I18" s="46" t="s">
        <v>125</v>
      </c>
      <c r="J18" s="46" t="s">
        <v>125</v>
      </c>
      <c r="K18" s="46" t="s">
        <v>126</v>
      </c>
      <c r="L18" s="45"/>
    </row>
    <row r="19" spans="1:12" ht="18" customHeight="1">
      <c r="A19" s="42" t="s">
        <v>163</v>
      </c>
      <c r="B19" s="43" t="s">
        <v>142</v>
      </c>
      <c r="C19" s="42" t="s">
        <v>154</v>
      </c>
      <c r="D19" s="42" t="s">
        <v>133</v>
      </c>
      <c r="E19" s="42" t="s">
        <v>161</v>
      </c>
      <c r="F19" s="42" t="s">
        <v>135</v>
      </c>
      <c r="G19" s="43" t="s">
        <v>123</v>
      </c>
      <c r="H19" s="42" t="s">
        <v>122</v>
      </c>
      <c r="I19" s="43" t="s">
        <v>125</v>
      </c>
      <c r="J19" s="43" t="s">
        <v>125</v>
      </c>
      <c r="K19" s="43" t="s">
        <v>126</v>
      </c>
      <c r="L19" s="42"/>
    </row>
    <row r="20" spans="1:12" ht="18" customHeight="1">
      <c r="A20" s="45" t="s">
        <v>169</v>
      </c>
      <c r="B20" s="46" t="s">
        <v>118</v>
      </c>
      <c r="C20" s="45" t="s">
        <v>170</v>
      </c>
      <c r="D20" s="45" t="s">
        <v>171</v>
      </c>
      <c r="E20" s="45" t="s">
        <v>172</v>
      </c>
      <c r="F20" s="45" t="s">
        <v>122</v>
      </c>
      <c r="G20" s="46" t="s">
        <v>123</v>
      </c>
      <c r="H20" s="45" t="s">
        <v>124</v>
      </c>
      <c r="I20" s="46" t="s">
        <v>125</v>
      </c>
      <c r="J20" s="46" t="s">
        <v>125</v>
      </c>
      <c r="K20" s="46" t="s">
        <v>126</v>
      </c>
      <c r="L20" s="46" t="s">
        <v>173</v>
      </c>
    </row>
    <row r="21" spans="1:12" ht="18" customHeight="1">
      <c r="A21" s="42" t="s">
        <v>169</v>
      </c>
      <c r="B21" s="43" t="s">
        <v>127</v>
      </c>
      <c r="C21" s="42" t="s">
        <v>174</v>
      </c>
      <c r="D21" s="42" t="s">
        <v>138</v>
      </c>
      <c r="E21" s="42" t="s">
        <v>175</v>
      </c>
      <c r="F21" s="42" t="s">
        <v>122</v>
      </c>
      <c r="G21" s="43" t="s">
        <v>123</v>
      </c>
      <c r="H21" s="42" t="s">
        <v>124</v>
      </c>
      <c r="I21" s="43" t="s">
        <v>125</v>
      </c>
      <c r="J21" s="43" t="s">
        <v>125</v>
      </c>
      <c r="K21" s="43" t="s">
        <v>126</v>
      </c>
      <c r="L21" s="42"/>
    </row>
    <row r="22" spans="1:12" ht="18" customHeight="1">
      <c r="A22" s="45" t="s">
        <v>169</v>
      </c>
      <c r="B22" s="46" t="s">
        <v>153</v>
      </c>
      <c r="C22" s="45" t="s">
        <v>176</v>
      </c>
      <c r="D22" s="45" t="s">
        <v>120</v>
      </c>
      <c r="E22" s="45" t="s">
        <v>132</v>
      </c>
      <c r="F22" s="45" t="s">
        <v>122</v>
      </c>
      <c r="G22" s="46" t="s">
        <v>123</v>
      </c>
      <c r="H22" s="45" t="s">
        <v>124</v>
      </c>
      <c r="I22" s="46" t="s">
        <v>125</v>
      </c>
      <c r="J22" s="46" t="s">
        <v>125</v>
      </c>
      <c r="K22" s="46" t="s">
        <v>126</v>
      </c>
      <c r="L22" s="45"/>
    </row>
  </sheetData>
  <mergeCells count="2">
    <mergeCell ref="A1:P1"/>
    <mergeCell ref="A2:P2"/>
  </mergeCells>
  <phoneticPr fontId="33" type="noConversion"/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  <pageSetUpPr fitToPage="1"/>
  </sheetPr>
  <dimension ref="A1:P10"/>
  <sheetViews>
    <sheetView tabSelected="1" zoomScaleNormal="100" workbookViewId="0">
      <pane ySplit="4" topLeftCell="A5" activePane="bottomLeft" state="frozen"/>
      <selection pane="bottomLeft" activeCell="H13" sqref="H13"/>
    </sheetView>
  </sheetViews>
  <sheetFormatPr defaultColWidth="8.6640625" defaultRowHeight="14.4"/>
  <cols>
    <col min="1" max="1" width="10" customWidth="1"/>
    <col min="2" max="3" width="14" customWidth="1"/>
    <col min="4" max="4" width="12" customWidth="1"/>
    <col min="5" max="11" width="10" customWidth="1"/>
    <col min="12" max="12" width="14" customWidth="1"/>
  </cols>
  <sheetData>
    <row r="1" spans="1:16" ht="36" customHeight="1">
      <c r="A1" s="67" t="s">
        <v>177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1:16" ht="19.5" customHeight="1">
      <c r="A2" s="68" t="s">
        <v>79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</row>
    <row r="4" spans="1:16" ht="21.75" customHeight="1">
      <c r="A4" s="50" t="s">
        <v>80</v>
      </c>
      <c r="B4" s="50" t="s">
        <v>178</v>
      </c>
      <c r="C4" s="50" t="s">
        <v>179</v>
      </c>
      <c r="D4" s="50" t="s">
        <v>180</v>
      </c>
      <c r="E4" s="50" t="s">
        <v>181</v>
      </c>
      <c r="F4" s="50" t="s">
        <v>182</v>
      </c>
      <c r="G4" s="50" t="s">
        <v>183</v>
      </c>
      <c r="H4" s="50" t="s">
        <v>184</v>
      </c>
      <c r="I4" s="50" t="s">
        <v>185</v>
      </c>
      <c r="J4" s="50" t="s">
        <v>186</v>
      </c>
      <c r="K4" s="50" t="s">
        <v>187</v>
      </c>
      <c r="L4" s="50" t="s">
        <v>89</v>
      </c>
    </row>
    <row r="5" spans="1:16" ht="18" customHeight="1">
      <c r="A5" s="42" t="s">
        <v>90</v>
      </c>
      <c r="B5" s="18">
        <v>145000</v>
      </c>
      <c r="C5" s="18">
        <v>136000</v>
      </c>
      <c r="D5" s="18">
        <v>10000</v>
      </c>
      <c r="E5" s="30">
        <f t="shared" ref="E5:E10" si="0">C5/B5</f>
        <v>0.93793103448275861</v>
      </c>
      <c r="F5" s="30">
        <f t="shared" ref="F5:F10" si="1">D5/B5</f>
        <v>6.8965517241379309E-2</v>
      </c>
      <c r="G5" s="42">
        <v>12</v>
      </c>
      <c r="H5" s="42">
        <v>11</v>
      </c>
      <c r="I5" s="30">
        <f t="shared" ref="I5:I10" si="2">H5/G5</f>
        <v>0.91666666666666663</v>
      </c>
      <c r="J5" s="30">
        <v>0.88</v>
      </c>
      <c r="K5" s="42" t="str">
        <f t="shared" ref="K5:K10" si="3">IF(E5&gt;=J5,"✅달성","❌미달")</f>
        <v>✅달성</v>
      </c>
      <c r="L5" s="43" t="s">
        <v>188</v>
      </c>
    </row>
    <row r="6" spans="1:16" ht="18" customHeight="1">
      <c r="A6" s="45" t="s">
        <v>98</v>
      </c>
      <c r="B6" s="19">
        <v>142000</v>
      </c>
      <c r="C6" s="19">
        <v>134500</v>
      </c>
      <c r="D6" s="19">
        <v>7500</v>
      </c>
      <c r="E6" s="25">
        <f t="shared" si="0"/>
        <v>0.94718309859154926</v>
      </c>
      <c r="F6" s="25">
        <f t="shared" si="1"/>
        <v>5.2816901408450703E-2</v>
      </c>
      <c r="G6" s="45">
        <v>9</v>
      </c>
      <c r="H6" s="45">
        <v>9</v>
      </c>
      <c r="I6" s="25">
        <f t="shared" si="2"/>
        <v>1</v>
      </c>
      <c r="J6" s="25">
        <v>0.88</v>
      </c>
      <c r="K6" s="45" t="str">
        <f t="shared" si="3"/>
        <v>✅달성</v>
      </c>
      <c r="L6" s="45"/>
    </row>
    <row r="7" spans="1:16" ht="18" customHeight="1">
      <c r="A7" s="42" t="s">
        <v>99</v>
      </c>
      <c r="B7" s="18">
        <v>149000</v>
      </c>
      <c r="C7" s="18">
        <v>140800</v>
      </c>
      <c r="D7" s="18">
        <v>2333</v>
      </c>
      <c r="E7" s="30">
        <f t="shared" si="0"/>
        <v>0.94496644295302012</v>
      </c>
      <c r="F7" s="30">
        <f t="shared" si="1"/>
        <v>1.565771812080537E-2</v>
      </c>
      <c r="G7" s="42">
        <v>11</v>
      </c>
      <c r="H7" s="42">
        <v>10</v>
      </c>
      <c r="I7" s="30">
        <f t="shared" si="2"/>
        <v>0.90909090909090906</v>
      </c>
      <c r="J7" s="30">
        <v>0.88</v>
      </c>
      <c r="K7" s="42" t="str">
        <f t="shared" si="3"/>
        <v>✅달성</v>
      </c>
      <c r="L7" s="42"/>
    </row>
    <row r="8" spans="1:16" ht="18" customHeight="1">
      <c r="A8" s="45" t="s">
        <v>100</v>
      </c>
      <c r="B8" s="19">
        <v>154000</v>
      </c>
      <c r="C8" s="19">
        <v>146200</v>
      </c>
      <c r="D8" s="19">
        <v>4444</v>
      </c>
      <c r="E8" s="25">
        <f t="shared" si="0"/>
        <v>0.94935064935064939</v>
      </c>
      <c r="F8" s="25">
        <f t="shared" si="1"/>
        <v>2.8857142857142856E-2</v>
      </c>
      <c r="G8" s="45">
        <v>8</v>
      </c>
      <c r="H8" s="45">
        <v>8</v>
      </c>
      <c r="I8" s="25">
        <f t="shared" si="2"/>
        <v>1</v>
      </c>
      <c r="J8" s="25">
        <v>0.9</v>
      </c>
      <c r="K8" s="45" t="str">
        <f t="shared" si="3"/>
        <v>✅달성</v>
      </c>
      <c r="L8" s="45"/>
    </row>
    <row r="9" spans="1:16" ht="18" customHeight="1">
      <c r="A9" s="42" t="s">
        <v>101</v>
      </c>
      <c r="B9" s="18">
        <v>160000</v>
      </c>
      <c r="C9" s="18">
        <v>152500</v>
      </c>
      <c r="D9" s="18">
        <v>7500</v>
      </c>
      <c r="E9" s="30">
        <f t="shared" si="0"/>
        <v>0.953125</v>
      </c>
      <c r="F9" s="30">
        <f t="shared" si="1"/>
        <v>4.6875E-2</v>
      </c>
      <c r="G9" s="42">
        <v>8</v>
      </c>
      <c r="H9" s="42">
        <v>7</v>
      </c>
      <c r="I9" s="30">
        <f t="shared" si="2"/>
        <v>0.875</v>
      </c>
      <c r="J9" s="30">
        <v>0.9</v>
      </c>
      <c r="K9" s="42" t="str">
        <f t="shared" si="3"/>
        <v>✅달성</v>
      </c>
      <c r="L9" s="42"/>
    </row>
    <row r="10" spans="1:16" ht="18" customHeight="1">
      <c r="A10" s="45" t="s">
        <v>103</v>
      </c>
      <c r="B10" s="19">
        <v>165000</v>
      </c>
      <c r="C10" s="19">
        <v>567677</v>
      </c>
      <c r="D10" s="19">
        <v>7800</v>
      </c>
      <c r="E10" s="25">
        <f t="shared" si="0"/>
        <v>3.4404666666666666</v>
      </c>
      <c r="F10" s="25">
        <f t="shared" si="1"/>
        <v>4.7272727272727272E-2</v>
      </c>
      <c r="G10" s="45">
        <v>7</v>
      </c>
      <c r="H10" s="45">
        <v>8</v>
      </c>
      <c r="I10" s="25">
        <f t="shared" si="2"/>
        <v>1.1428571428571428</v>
      </c>
      <c r="J10" s="25">
        <v>0.9</v>
      </c>
      <c r="K10" s="45" t="str">
        <f t="shared" si="3"/>
        <v>✅달성</v>
      </c>
      <c r="L10" s="46" t="s">
        <v>104</v>
      </c>
    </row>
  </sheetData>
  <mergeCells count="2">
    <mergeCell ref="A1:P1"/>
    <mergeCell ref="A2:P2"/>
  </mergeCells>
  <phoneticPr fontId="33" type="noConversion"/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D3C98"/>
    <pageSetUpPr fitToPage="1"/>
  </sheetPr>
  <dimension ref="A1:P10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/>
  <cols>
    <col min="1" max="1" width="10" customWidth="1"/>
    <col min="2" max="3" width="15" customWidth="1"/>
    <col min="4" max="4" width="10" customWidth="1"/>
    <col min="5" max="5" width="13" customWidth="1"/>
    <col min="6" max="6" width="10" customWidth="1"/>
    <col min="7" max="8" width="15" customWidth="1"/>
    <col min="9" max="9" width="10" customWidth="1"/>
    <col min="10" max="10" width="13" customWidth="1"/>
    <col min="11" max="11" width="14" customWidth="1"/>
  </cols>
  <sheetData>
    <row r="1" spans="1:16" ht="36" customHeight="1">
      <c r="A1" s="69" t="s">
        <v>189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6" ht="19.5" customHeight="1">
      <c r="A2" s="70" t="s">
        <v>79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</row>
    <row r="4" spans="1:16" ht="21.75" customHeight="1">
      <c r="A4" s="51" t="s">
        <v>80</v>
      </c>
      <c r="B4" s="51" t="s">
        <v>190</v>
      </c>
      <c r="C4" s="51" t="s">
        <v>191</v>
      </c>
      <c r="D4" s="51" t="s">
        <v>192</v>
      </c>
      <c r="E4" s="51" t="s">
        <v>193</v>
      </c>
      <c r="F4" s="51" t="s">
        <v>194</v>
      </c>
      <c r="G4" s="51" t="s">
        <v>195</v>
      </c>
      <c r="H4" s="51" t="s">
        <v>196</v>
      </c>
      <c r="I4" s="51" t="s">
        <v>197</v>
      </c>
      <c r="J4" s="51" t="s">
        <v>198</v>
      </c>
      <c r="K4" s="51" t="s">
        <v>89</v>
      </c>
    </row>
    <row r="5" spans="1:16" ht="18" customHeight="1">
      <c r="A5" s="42" t="s">
        <v>90</v>
      </c>
      <c r="B5" s="18">
        <v>185200000</v>
      </c>
      <c r="C5" s="18">
        <v>181356000</v>
      </c>
      <c r="D5" s="30">
        <f t="shared" ref="D5:D10" si="0">C5/B5</f>
        <v>0.97924406047516199</v>
      </c>
      <c r="E5" s="18">
        <v>3844000</v>
      </c>
      <c r="F5" s="42">
        <v>42</v>
      </c>
      <c r="G5" s="18">
        <v>2100000</v>
      </c>
      <c r="H5" s="18">
        <f t="shared" ref="H5:H10" si="1">E5+G5</f>
        <v>5944000</v>
      </c>
      <c r="I5" s="30">
        <f t="shared" ref="I5:I10" si="2">C5/(B5+G5)</f>
        <v>0.96826481580352375</v>
      </c>
      <c r="J5" s="18">
        <v>320000</v>
      </c>
      <c r="K5" s="43" t="s">
        <v>199</v>
      </c>
    </row>
    <row r="6" spans="1:16" ht="18" customHeight="1">
      <c r="A6" s="45" t="s">
        <v>98</v>
      </c>
      <c r="B6" s="19">
        <v>179800000</v>
      </c>
      <c r="C6" s="19">
        <v>176204000</v>
      </c>
      <c r="D6" s="25">
        <f t="shared" si="0"/>
        <v>0.98</v>
      </c>
      <c r="E6" s="19">
        <v>3596000</v>
      </c>
      <c r="F6" s="45">
        <v>38</v>
      </c>
      <c r="G6" s="19">
        <v>3844000</v>
      </c>
      <c r="H6" s="19">
        <f t="shared" si="1"/>
        <v>7440000</v>
      </c>
      <c r="I6" s="25">
        <f t="shared" si="2"/>
        <v>0.95948683322079675</v>
      </c>
      <c r="J6" s="19">
        <v>280000</v>
      </c>
      <c r="K6" s="45"/>
    </row>
    <row r="7" spans="1:16" ht="18" customHeight="1">
      <c r="A7" s="42" t="s">
        <v>99</v>
      </c>
      <c r="B7" s="18">
        <v>192500000</v>
      </c>
      <c r="C7" s="18">
        <v>188930000</v>
      </c>
      <c r="D7" s="30">
        <f t="shared" si="0"/>
        <v>0.98145454545454547</v>
      </c>
      <c r="E7" s="18">
        <v>3570000</v>
      </c>
      <c r="F7" s="42">
        <v>35</v>
      </c>
      <c r="G7" s="18">
        <v>3596000</v>
      </c>
      <c r="H7" s="18">
        <f t="shared" si="1"/>
        <v>7166000</v>
      </c>
      <c r="I7" s="30">
        <f t="shared" si="2"/>
        <v>0.96345667428198434</v>
      </c>
      <c r="J7" s="18">
        <v>350000</v>
      </c>
      <c r="K7" s="42"/>
    </row>
    <row r="8" spans="1:16" ht="18" customHeight="1">
      <c r="A8" s="45" t="s">
        <v>100</v>
      </c>
      <c r="B8" s="19">
        <v>198700000</v>
      </c>
      <c r="C8" s="19">
        <v>195726000</v>
      </c>
      <c r="D8" s="25">
        <f t="shared" si="0"/>
        <v>0.98503271263210868</v>
      </c>
      <c r="E8" s="19">
        <v>2974000</v>
      </c>
      <c r="F8" s="45">
        <v>30</v>
      </c>
      <c r="G8" s="19">
        <v>3570000</v>
      </c>
      <c r="H8" s="19">
        <f t="shared" si="1"/>
        <v>6544000</v>
      </c>
      <c r="I8" s="25">
        <f t="shared" si="2"/>
        <v>0.96764720423196715</v>
      </c>
      <c r="J8" s="19">
        <v>410000</v>
      </c>
      <c r="K8" s="45"/>
    </row>
    <row r="9" spans="1:16" ht="18" customHeight="1">
      <c r="A9" s="42" t="s">
        <v>101</v>
      </c>
      <c r="B9" s="18">
        <v>206300000</v>
      </c>
      <c r="C9" s="18">
        <v>203418000</v>
      </c>
      <c r="D9" s="30">
        <f t="shared" si="0"/>
        <v>0.98603005332040716</v>
      </c>
      <c r="E9" s="18">
        <v>2882000</v>
      </c>
      <c r="F9" s="42">
        <v>28</v>
      </c>
      <c r="G9" s="18">
        <v>2974000</v>
      </c>
      <c r="H9" s="18">
        <f t="shared" si="1"/>
        <v>5856000</v>
      </c>
      <c r="I9" s="30">
        <f t="shared" si="2"/>
        <v>0.97201754637460935</v>
      </c>
      <c r="J9" s="18">
        <v>380000</v>
      </c>
      <c r="K9" s="42"/>
    </row>
    <row r="10" spans="1:16" ht="18" customHeight="1">
      <c r="A10" s="45" t="s">
        <v>103</v>
      </c>
      <c r="B10" s="19">
        <v>215800000</v>
      </c>
      <c r="C10" s="19">
        <v>212813000</v>
      </c>
      <c r="D10" s="25">
        <f t="shared" si="0"/>
        <v>0.98615848007414275</v>
      </c>
      <c r="E10" s="19">
        <v>2987000</v>
      </c>
      <c r="F10" s="45">
        <v>31</v>
      </c>
      <c r="G10" s="19">
        <v>2882000</v>
      </c>
      <c r="H10" s="19">
        <f t="shared" si="1"/>
        <v>5869000</v>
      </c>
      <c r="I10" s="25">
        <f t="shared" si="2"/>
        <v>0.97316194291253966</v>
      </c>
      <c r="J10" s="19">
        <v>450000</v>
      </c>
      <c r="K10" s="46" t="s">
        <v>200</v>
      </c>
    </row>
  </sheetData>
  <mergeCells count="2">
    <mergeCell ref="A1:P1"/>
    <mergeCell ref="A2:P2"/>
  </mergeCells>
  <phoneticPr fontId="33" type="noConversion"/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74C3C"/>
    <pageSetUpPr fitToPage="1"/>
  </sheetPr>
  <dimension ref="A1:P28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/>
  <cols>
    <col min="1" max="1" width="10" customWidth="1"/>
    <col min="2" max="2" width="14" customWidth="1"/>
    <col min="3" max="4" width="12" customWidth="1"/>
    <col min="5" max="5" width="10" customWidth="1"/>
    <col min="6" max="6" width="13" customWidth="1"/>
    <col min="7" max="7" width="12" customWidth="1"/>
    <col min="8" max="8" width="11" customWidth="1"/>
    <col min="9" max="9" width="12" customWidth="1"/>
    <col min="10" max="10" width="16" customWidth="1"/>
  </cols>
  <sheetData>
    <row r="1" spans="1:16" ht="36" customHeight="1">
      <c r="A1" s="71" t="s">
        <v>201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ht="19.5" customHeight="1">
      <c r="A2" s="72" t="s">
        <v>79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</row>
    <row r="4" spans="1:16" ht="21.75" customHeight="1">
      <c r="A4" s="52" t="s">
        <v>80</v>
      </c>
      <c r="B4" s="52" t="s">
        <v>202</v>
      </c>
      <c r="C4" s="52" t="s">
        <v>203</v>
      </c>
      <c r="D4" s="52" t="s">
        <v>204</v>
      </c>
      <c r="E4" s="52" t="s">
        <v>205</v>
      </c>
      <c r="F4" s="52" t="s">
        <v>206</v>
      </c>
      <c r="G4" s="52" t="s">
        <v>207</v>
      </c>
      <c r="H4" s="52" t="s">
        <v>208</v>
      </c>
      <c r="I4" s="52" t="s">
        <v>209</v>
      </c>
      <c r="J4" s="52" t="s">
        <v>89</v>
      </c>
    </row>
    <row r="5" spans="1:16" ht="18" customHeight="1">
      <c r="A5" s="42" t="s">
        <v>90</v>
      </c>
      <c r="B5" s="43" t="s">
        <v>55</v>
      </c>
      <c r="C5" s="42">
        <v>18</v>
      </c>
      <c r="D5" s="42">
        <v>17</v>
      </c>
      <c r="E5" s="42">
        <f t="shared" ref="E5:E28" si="0">C5-D5</f>
        <v>1</v>
      </c>
      <c r="F5" s="42">
        <v>1.8</v>
      </c>
      <c r="G5" s="42">
        <v>0</v>
      </c>
      <c r="H5" s="42">
        <v>4.2</v>
      </c>
      <c r="I5" s="42"/>
      <c r="J5" s="42"/>
    </row>
    <row r="6" spans="1:16" ht="18" customHeight="1">
      <c r="A6" s="45" t="s">
        <v>90</v>
      </c>
      <c r="B6" s="46" t="s">
        <v>56</v>
      </c>
      <c r="C6" s="45">
        <v>5</v>
      </c>
      <c r="D6" s="45">
        <v>5</v>
      </c>
      <c r="E6" s="45">
        <f t="shared" si="0"/>
        <v>0</v>
      </c>
      <c r="F6" s="45">
        <v>3.2</v>
      </c>
      <c r="G6" s="45">
        <v>0</v>
      </c>
      <c r="H6" s="45">
        <v>3.8</v>
      </c>
      <c r="I6" s="45"/>
      <c r="J6" s="45"/>
    </row>
    <row r="7" spans="1:16" ht="18" customHeight="1">
      <c r="A7" s="42" t="s">
        <v>90</v>
      </c>
      <c r="B7" s="43" t="s">
        <v>57</v>
      </c>
      <c r="C7" s="42">
        <v>8</v>
      </c>
      <c r="D7" s="42">
        <v>7</v>
      </c>
      <c r="E7" s="42">
        <f t="shared" si="0"/>
        <v>1</v>
      </c>
      <c r="F7" s="42">
        <v>2.1</v>
      </c>
      <c r="G7" s="42">
        <v>0</v>
      </c>
      <c r="H7" s="42">
        <v>4</v>
      </c>
      <c r="I7" s="42"/>
      <c r="J7" s="42"/>
    </row>
    <row r="8" spans="1:16" ht="18" customHeight="1">
      <c r="A8" s="45" t="s">
        <v>90</v>
      </c>
      <c r="B8" s="46" t="s">
        <v>58</v>
      </c>
      <c r="C8" s="45">
        <v>3</v>
      </c>
      <c r="D8" s="45">
        <v>3</v>
      </c>
      <c r="E8" s="45">
        <f t="shared" si="0"/>
        <v>0</v>
      </c>
      <c r="F8" s="45">
        <v>0.5</v>
      </c>
      <c r="G8" s="45">
        <v>0</v>
      </c>
      <c r="H8" s="45">
        <v>3.5</v>
      </c>
      <c r="I8" s="45"/>
      <c r="J8" s="46" t="s">
        <v>210</v>
      </c>
    </row>
    <row r="9" spans="1:16" ht="18" customHeight="1">
      <c r="A9" s="42" t="s">
        <v>98</v>
      </c>
      <c r="B9" s="43" t="s">
        <v>55</v>
      </c>
      <c r="C9" s="42">
        <v>14</v>
      </c>
      <c r="D9" s="42">
        <v>14</v>
      </c>
      <c r="E9" s="42">
        <f t="shared" si="0"/>
        <v>0</v>
      </c>
      <c r="F9" s="42">
        <v>1.6</v>
      </c>
      <c r="G9" s="42">
        <v>0</v>
      </c>
      <c r="H9" s="42">
        <v>4.3</v>
      </c>
      <c r="I9" s="42"/>
      <c r="J9" s="42"/>
    </row>
    <row r="10" spans="1:16" ht="18" customHeight="1">
      <c r="A10" s="45" t="s">
        <v>98</v>
      </c>
      <c r="B10" s="46" t="s">
        <v>56</v>
      </c>
      <c r="C10" s="45">
        <v>4</v>
      </c>
      <c r="D10" s="45">
        <v>4</v>
      </c>
      <c r="E10" s="45">
        <f t="shared" si="0"/>
        <v>0</v>
      </c>
      <c r="F10" s="45">
        <v>2.8</v>
      </c>
      <c r="G10" s="45">
        <v>0</v>
      </c>
      <c r="H10" s="45">
        <v>4.0999999999999996</v>
      </c>
      <c r="I10" s="45"/>
      <c r="J10" s="45"/>
    </row>
    <row r="11" spans="1:16" ht="18" customHeight="1">
      <c r="A11" s="42" t="s">
        <v>98</v>
      </c>
      <c r="B11" s="43" t="s">
        <v>57</v>
      </c>
      <c r="C11" s="42">
        <v>6</v>
      </c>
      <c r="D11" s="42">
        <v>5</v>
      </c>
      <c r="E11" s="42">
        <f t="shared" si="0"/>
        <v>1</v>
      </c>
      <c r="F11" s="42">
        <v>2.4</v>
      </c>
      <c r="G11" s="42">
        <v>0</v>
      </c>
      <c r="H11" s="42">
        <v>3.9</v>
      </c>
      <c r="I11" s="42"/>
      <c r="J11" s="42"/>
    </row>
    <row r="12" spans="1:16" ht="18" customHeight="1">
      <c r="A12" s="45" t="s">
        <v>98</v>
      </c>
      <c r="B12" s="46" t="s">
        <v>58</v>
      </c>
      <c r="C12" s="45">
        <v>2</v>
      </c>
      <c r="D12" s="45">
        <v>2</v>
      </c>
      <c r="E12" s="45">
        <f t="shared" si="0"/>
        <v>0</v>
      </c>
      <c r="F12" s="45">
        <v>0.8</v>
      </c>
      <c r="G12" s="45">
        <v>0</v>
      </c>
      <c r="H12" s="45">
        <v>4</v>
      </c>
      <c r="I12" s="45"/>
      <c r="J12" s="45"/>
    </row>
    <row r="13" spans="1:16" ht="18" customHeight="1">
      <c r="A13" s="42" t="s">
        <v>99</v>
      </c>
      <c r="B13" s="43" t="s">
        <v>55</v>
      </c>
      <c r="C13" s="42">
        <v>16</v>
      </c>
      <c r="D13" s="42">
        <v>15</v>
      </c>
      <c r="E13" s="42">
        <f t="shared" si="0"/>
        <v>1</v>
      </c>
      <c r="F13" s="42">
        <v>1.7</v>
      </c>
      <c r="G13" s="42">
        <v>0</v>
      </c>
      <c r="H13" s="42">
        <v>4.2</v>
      </c>
      <c r="I13" s="42"/>
      <c r="J13" s="42"/>
    </row>
    <row r="14" spans="1:16" ht="18" customHeight="1">
      <c r="A14" s="45" t="s">
        <v>99</v>
      </c>
      <c r="B14" s="46" t="s">
        <v>56</v>
      </c>
      <c r="C14" s="45">
        <v>6</v>
      </c>
      <c r="D14" s="45">
        <v>6</v>
      </c>
      <c r="E14" s="45">
        <f t="shared" si="0"/>
        <v>0</v>
      </c>
      <c r="F14" s="45">
        <v>3</v>
      </c>
      <c r="G14" s="45">
        <v>0</v>
      </c>
      <c r="H14" s="45">
        <v>4</v>
      </c>
      <c r="I14" s="45"/>
      <c r="J14" s="45"/>
    </row>
    <row r="15" spans="1:16" ht="18" customHeight="1">
      <c r="A15" s="42" t="s">
        <v>99</v>
      </c>
      <c r="B15" s="43" t="s">
        <v>57</v>
      </c>
      <c r="C15" s="42">
        <v>9</v>
      </c>
      <c r="D15" s="42">
        <v>8</v>
      </c>
      <c r="E15" s="42">
        <f t="shared" si="0"/>
        <v>1</v>
      </c>
      <c r="F15" s="42">
        <v>2.2000000000000002</v>
      </c>
      <c r="G15" s="33">
        <v>1</v>
      </c>
      <c r="H15" s="42">
        <v>3.7</v>
      </c>
      <c r="I15" s="42"/>
      <c r="J15" s="43" t="s">
        <v>211</v>
      </c>
    </row>
    <row r="16" spans="1:16" ht="18" customHeight="1">
      <c r="A16" s="45" t="s">
        <v>99</v>
      </c>
      <c r="B16" s="46" t="s">
        <v>59</v>
      </c>
      <c r="C16" s="45">
        <v>4</v>
      </c>
      <c r="D16" s="45">
        <v>4</v>
      </c>
      <c r="E16" s="45">
        <f t="shared" si="0"/>
        <v>0</v>
      </c>
      <c r="F16" s="45">
        <v>1.5</v>
      </c>
      <c r="G16" s="45">
        <v>0</v>
      </c>
      <c r="H16" s="45">
        <v>4.0999999999999996</v>
      </c>
      <c r="I16" s="45"/>
      <c r="J16" s="45"/>
    </row>
    <row r="17" spans="1:10" ht="18" customHeight="1">
      <c r="A17" s="42" t="s">
        <v>100</v>
      </c>
      <c r="B17" s="43" t="s">
        <v>55</v>
      </c>
      <c r="C17" s="42">
        <v>12</v>
      </c>
      <c r="D17" s="42">
        <v>12</v>
      </c>
      <c r="E17" s="42">
        <f t="shared" si="0"/>
        <v>0</v>
      </c>
      <c r="F17" s="42">
        <v>1.5</v>
      </c>
      <c r="G17" s="42">
        <v>0</v>
      </c>
      <c r="H17" s="42">
        <v>4.5</v>
      </c>
      <c r="I17" s="42"/>
      <c r="J17" s="42"/>
    </row>
    <row r="18" spans="1:10" ht="18" customHeight="1">
      <c r="A18" s="45" t="s">
        <v>100</v>
      </c>
      <c r="B18" s="46" t="s">
        <v>56</v>
      </c>
      <c r="C18" s="45">
        <v>3</v>
      </c>
      <c r="D18" s="45">
        <v>3</v>
      </c>
      <c r="E18" s="45">
        <f t="shared" si="0"/>
        <v>0</v>
      </c>
      <c r="F18" s="45">
        <v>2.5</v>
      </c>
      <c r="G18" s="45">
        <v>0</v>
      </c>
      <c r="H18" s="45">
        <v>4.3</v>
      </c>
      <c r="I18" s="45"/>
      <c r="J18" s="45"/>
    </row>
    <row r="19" spans="1:10" ht="18" customHeight="1">
      <c r="A19" s="42" t="s">
        <v>100</v>
      </c>
      <c r="B19" s="43" t="s">
        <v>57</v>
      </c>
      <c r="C19" s="42">
        <v>5</v>
      </c>
      <c r="D19" s="42">
        <v>5</v>
      </c>
      <c r="E19" s="42">
        <f t="shared" si="0"/>
        <v>0</v>
      </c>
      <c r="F19" s="42">
        <v>1.9</v>
      </c>
      <c r="G19" s="42">
        <v>0</v>
      </c>
      <c r="H19" s="42">
        <v>4.2</v>
      </c>
      <c r="I19" s="42"/>
      <c r="J19" s="42"/>
    </row>
    <row r="20" spans="1:10" ht="18" customHeight="1">
      <c r="A20" s="45" t="s">
        <v>100</v>
      </c>
      <c r="B20" s="46" t="s">
        <v>59</v>
      </c>
      <c r="C20" s="45">
        <v>3</v>
      </c>
      <c r="D20" s="45">
        <v>3</v>
      </c>
      <c r="E20" s="45">
        <f t="shared" si="0"/>
        <v>0</v>
      </c>
      <c r="F20" s="45">
        <v>1.2</v>
      </c>
      <c r="G20" s="45">
        <v>0</v>
      </c>
      <c r="H20" s="45">
        <v>4.4000000000000004</v>
      </c>
      <c r="I20" s="45"/>
      <c r="J20" s="45"/>
    </row>
    <row r="21" spans="1:10" ht="18" customHeight="1">
      <c r="A21" s="42" t="s">
        <v>101</v>
      </c>
      <c r="B21" s="43" t="s">
        <v>55</v>
      </c>
      <c r="C21" s="42">
        <v>15</v>
      </c>
      <c r="D21" s="42">
        <v>14</v>
      </c>
      <c r="E21" s="42">
        <f t="shared" si="0"/>
        <v>1</v>
      </c>
      <c r="F21" s="42">
        <v>1.6</v>
      </c>
      <c r="G21" s="42">
        <v>0</v>
      </c>
      <c r="H21" s="42">
        <v>4.3</v>
      </c>
      <c r="I21" s="42"/>
      <c r="J21" s="42"/>
    </row>
    <row r="22" spans="1:10" ht="18" customHeight="1">
      <c r="A22" s="45" t="s">
        <v>101</v>
      </c>
      <c r="B22" s="46" t="s">
        <v>56</v>
      </c>
      <c r="C22" s="45">
        <v>4</v>
      </c>
      <c r="D22" s="45">
        <v>4</v>
      </c>
      <c r="E22" s="45">
        <f t="shared" si="0"/>
        <v>0</v>
      </c>
      <c r="F22" s="45">
        <v>2.7</v>
      </c>
      <c r="G22" s="45">
        <v>0</v>
      </c>
      <c r="H22" s="45">
        <v>4.0999999999999996</v>
      </c>
      <c r="I22" s="45"/>
      <c r="J22" s="45"/>
    </row>
    <row r="23" spans="1:10" ht="18" customHeight="1">
      <c r="A23" s="42" t="s">
        <v>101</v>
      </c>
      <c r="B23" s="43" t="s">
        <v>57</v>
      </c>
      <c r="C23" s="42">
        <v>7</v>
      </c>
      <c r="D23" s="42">
        <v>6</v>
      </c>
      <c r="E23" s="42">
        <f t="shared" si="0"/>
        <v>1</v>
      </c>
      <c r="F23" s="42">
        <v>2</v>
      </c>
      <c r="G23" s="42">
        <v>0</v>
      </c>
      <c r="H23" s="42">
        <v>4</v>
      </c>
      <c r="I23" s="42"/>
      <c r="J23" s="43" t="s">
        <v>104</v>
      </c>
    </row>
    <row r="24" spans="1:10" ht="18" customHeight="1">
      <c r="A24" s="45" t="s">
        <v>101</v>
      </c>
      <c r="B24" s="46" t="s">
        <v>58</v>
      </c>
      <c r="C24" s="45">
        <v>2</v>
      </c>
      <c r="D24" s="45">
        <v>2</v>
      </c>
      <c r="E24" s="45">
        <f t="shared" si="0"/>
        <v>0</v>
      </c>
      <c r="F24" s="45">
        <v>0.7</v>
      </c>
      <c r="G24" s="45">
        <v>0</v>
      </c>
      <c r="H24" s="45">
        <v>4.2</v>
      </c>
      <c r="I24" s="45"/>
      <c r="J24" s="45"/>
    </row>
    <row r="25" spans="1:10" ht="18" customHeight="1">
      <c r="A25" s="42" t="s">
        <v>103</v>
      </c>
      <c r="B25" s="43" t="s">
        <v>55</v>
      </c>
      <c r="C25" s="42">
        <v>20</v>
      </c>
      <c r="D25" s="42">
        <v>18</v>
      </c>
      <c r="E25" s="42">
        <f t="shared" si="0"/>
        <v>2</v>
      </c>
      <c r="F25" s="42">
        <v>1.9</v>
      </c>
      <c r="G25" s="33">
        <v>1</v>
      </c>
      <c r="H25" s="42">
        <v>4.0999999999999996</v>
      </c>
      <c r="I25" s="42"/>
      <c r="J25" s="43" t="s">
        <v>212</v>
      </c>
    </row>
    <row r="26" spans="1:10" ht="18" customHeight="1">
      <c r="A26" s="45" t="s">
        <v>103</v>
      </c>
      <c r="B26" s="46" t="s">
        <v>56</v>
      </c>
      <c r="C26" s="45">
        <v>5</v>
      </c>
      <c r="D26" s="45">
        <v>5</v>
      </c>
      <c r="E26" s="45">
        <f t="shared" si="0"/>
        <v>0</v>
      </c>
      <c r="F26" s="45">
        <v>3.1</v>
      </c>
      <c r="G26" s="45">
        <v>0</v>
      </c>
      <c r="H26" s="45">
        <v>4</v>
      </c>
      <c r="I26" s="45"/>
      <c r="J26" s="45"/>
    </row>
    <row r="27" spans="1:10" ht="18" customHeight="1">
      <c r="A27" s="42" t="s">
        <v>103</v>
      </c>
      <c r="B27" s="43" t="s">
        <v>57</v>
      </c>
      <c r="C27" s="42">
        <v>10</v>
      </c>
      <c r="D27" s="42">
        <v>9</v>
      </c>
      <c r="E27" s="42">
        <f t="shared" si="0"/>
        <v>1</v>
      </c>
      <c r="F27" s="42">
        <v>2.2999999999999998</v>
      </c>
      <c r="G27" s="42">
        <v>0</v>
      </c>
      <c r="H27" s="42">
        <v>3.9</v>
      </c>
      <c r="I27" s="42"/>
      <c r="J27" s="42"/>
    </row>
    <row r="28" spans="1:10" ht="18" customHeight="1">
      <c r="A28" s="45" t="s">
        <v>103</v>
      </c>
      <c r="B28" s="46" t="s">
        <v>58</v>
      </c>
      <c r="C28" s="45">
        <v>4</v>
      </c>
      <c r="D28" s="45">
        <v>3</v>
      </c>
      <c r="E28" s="45">
        <f t="shared" si="0"/>
        <v>1</v>
      </c>
      <c r="F28" s="45">
        <v>1.2</v>
      </c>
      <c r="G28" s="45">
        <v>0</v>
      </c>
      <c r="H28" s="45">
        <v>3.6</v>
      </c>
      <c r="I28" s="45"/>
      <c r="J28" s="45"/>
    </row>
  </sheetData>
  <mergeCells count="2">
    <mergeCell ref="A1:P1"/>
    <mergeCell ref="A2:P2"/>
  </mergeCells>
  <phoneticPr fontId="33" type="noConversion"/>
  <pageMargins left="0.75" right="0.75" top="1" bottom="1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7AE60"/>
    <pageSetUpPr fitToPage="1"/>
  </sheetPr>
  <dimension ref="A1:P19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/>
  <cols>
    <col min="1" max="1" width="11" customWidth="1"/>
    <col min="2" max="2" width="10" customWidth="1"/>
    <col min="3" max="3" width="12" customWidth="1"/>
    <col min="4" max="4" width="14" customWidth="1"/>
    <col min="5" max="6" width="10" customWidth="1"/>
    <col min="7" max="7" width="14" customWidth="1"/>
    <col min="8" max="8" width="12" customWidth="1"/>
    <col min="9" max="9" width="9" customWidth="1"/>
    <col min="10" max="10" width="14" customWidth="1"/>
    <col min="11" max="11" width="16" customWidth="1"/>
  </cols>
  <sheetData>
    <row r="1" spans="1:16" ht="36" customHeight="1">
      <c r="A1" s="73" t="s">
        <v>213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9.5" customHeight="1">
      <c r="A2" s="74" t="s">
        <v>79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</row>
    <row r="4" spans="1:16" ht="21.75" customHeight="1">
      <c r="A4" s="53" t="s">
        <v>214</v>
      </c>
      <c r="B4" s="53" t="s">
        <v>215</v>
      </c>
      <c r="C4" s="53" t="s">
        <v>216</v>
      </c>
      <c r="D4" s="53" t="s">
        <v>217</v>
      </c>
      <c r="E4" s="53" t="s">
        <v>218</v>
      </c>
      <c r="F4" s="53" t="s">
        <v>219</v>
      </c>
      <c r="G4" s="53" t="s">
        <v>220</v>
      </c>
      <c r="H4" s="53" t="s">
        <v>221</v>
      </c>
      <c r="I4" s="53" t="s">
        <v>222</v>
      </c>
      <c r="J4" s="53" t="s">
        <v>223</v>
      </c>
      <c r="K4" s="53" t="s">
        <v>89</v>
      </c>
    </row>
    <row r="5" spans="1:16" ht="18" customHeight="1">
      <c r="A5" s="42" t="s">
        <v>224</v>
      </c>
      <c r="B5" s="43" t="s">
        <v>118</v>
      </c>
      <c r="C5" s="43" t="s">
        <v>225</v>
      </c>
      <c r="D5" s="43" t="s">
        <v>226</v>
      </c>
      <c r="E5" s="43" t="s">
        <v>227</v>
      </c>
      <c r="F5" s="43" t="s">
        <v>125</v>
      </c>
      <c r="G5" s="43" t="s">
        <v>228</v>
      </c>
      <c r="H5" s="42"/>
      <c r="I5" s="43" t="s">
        <v>229</v>
      </c>
      <c r="J5" s="42" t="s">
        <v>230</v>
      </c>
      <c r="K5" s="42"/>
    </row>
    <row r="6" spans="1:16" ht="18" customHeight="1">
      <c r="A6" s="45" t="s">
        <v>224</v>
      </c>
      <c r="B6" s="46" t="s">
        <v>118</v>
      </c>
      <c r="C6" s="46" t="s">
        <v>225</v>
      </c>
      <c r="D6" s="46" t="s">
        <v>231</v>
      </c>
      <c r="E6" s="46" t="s">
        <v>227</v>
      </c>
      <c r="F6" s="46" t="s">
        <v>125</v>
      </c>
      <c r="G6" s="46" t="s">
        <v>228</v>
      </c>
      <c r="H6" s="45"/>
      <c r="I6" s="46" t="s">
        <v>229</v>
      </c>
      <c r="J6" s="45" t="s">
        <v>232</v>
      </c>
      <c r="K6" s="45"/>
    </row>
    <row r="7" spans="1:16" ht="18" customHeight="1">
      <c r="A7" s="42" t="s">
        <v>233</v>
      </c>
      <c r="B7" s="43" t="s">
        <v>234</v>
      </c>
      <c r="C7" s="42" t="s">
        <v>235</v>
      </c>
      <c r="D7" s="43" t="s">
        <v>236</v>
      </c>
      <c r="E7" s="43" t="s">
        <v>237</v>
      </c>
      <c r="F7" s="54" t="s">
        <v>238</v>
      </c>
      <c r="G7" s="43" t="s">
        <v>239</v>
      </c>
      <c r="H7" s="42" t="s">
        <v>240</v>
      </c>
      <c r="I7" s="43" t="s">
        <v>241</v>
      </c>
      <c r="J7" s="42" t="s">
        <v>242</v>
      </c>
      <c r="K7" s="43" t="s">
        <v>243</v>
      </c>
    </row>
    <row r="8" spans="1:16" ht="18" customHeight="1">
      <c r="A8" s="45" t="s">
        <v>240</v>
      </c>
      <c r="B8" s="46" t="s">
        <v>244</v>
      </c>
      <c r="C8" s="46" t="s">
        <v>245</v>
      </c>
      <c r="D8" s="46" t="s">
        <v>246</v>
      </c>
      <c r="E8" s="46" t="s">
        <v>227</v>
      </c>
      <c r="F8" s="46" t="s">
        <v>125</v>
      </c>
      <c r="G8" s="46" t="s">
        <v>228</v>
      </c>
      <c r="H8" s="45"/>
      <c r="I8" s="46" t="s">
        <v>247</v>
      </c>
      <c r="J8" s="45" t="s">
        <v>248</v>
      </c>
      <c r="K8" s="45"/>
    </row>
    <row r="9" spans="1:16" ht="18" customHeight="1">
      <c r="A9" s="42" t="s">
        <v>232</v>
      </c>
      <c r="B9" s="43" t="s">
        <v>118</v>
      </c>
      <c r="C9" s="43" t="s">
        <v>225</v>
      </c>
      <c r="D9" s="43" t="s">
        <v>231</v>
      </c>
      <c r="E9" s="43" t="s">
        <v>227</v>
      </c>
      <c r="F9" s="43" t="s">
        <v>125</v>
      </c>
      <c r="G9" s="43" t="s">
        <v>228</v>
      </c>
      <c r="H9" s="42"/>
      <c r="I9" s="43" t="s">
        <v>229</v>
      </c>
      <c r="J9" s="42" t="s">
        <v>249</v>
      </c>
      <c r="K9" s="42"/>
    </row>
    <row r="10" spans="1:16" ht="18" customHeight="1">
      <c r="A10" s="45" t="s">
        <v>250</v>
      </c>
      <c r="B10" s="46" t="s">
        <v>251</v>
      </c>
      <c r="C10" s="45" t="s">
        <v>252</v>
      </c>
      <c r="D10" s="46" t="s">
        <v>253</v>
      </c>
      <c r="E10" s="46" t="s">
        <v>227</v>
      </c>
      <c r="F10" s="46" t="s">
        <v>125</v>
      </c>
      <c r="G10" s="46" t="s">
        <v>228</v>
      </c>
      <c r="H10" s="45"/>
      <c r="I10" s="46" t="s">
        <v>241</v>
      </c>
      <c r="J10" s="45" t="s">
        <v>254</v>
      </c>
      <c r="K10" s="45"/>
    </row>
    <row r="11" spans="1:16" ht="18" customHeight="1">
      <c r="A11" s="42" t="s">
        <v>249</v>
      </c>
      <c r="B11" s="43" t="s">
        <v>118</v>
      </c>
      <c r="C11" s="43" t="s">
        <v>225</v>
      </c>
      <c r="D11" s="43" t="s">
        <v>231</v>
      </c>
      <c r="E11" s="43" t="s">
        <v>227</v>
      </c>
      <c r="F11" s="43" t="s">
        <v>125</v>
      </c>
      <c r="G11" s="43" t="s">
        <v>228</v>
      </c>
      <c r="H11" s="42"/>
      <c r="I11" s="43" t="s">
        <v>229</v>
      </c>
      <c r="J11" s="42" t="s">
        <v>255</v>
      </c>
      <c r="K11" s="42"/>
    </row>
    <row r="12" spans="1:16" ht="18" customHeight="1">
      <c r="A12" s="45" t="s">
        <v>256</v>
      </c>
      <c r="B12" s="46" t="s">
        <v>244</v>
      </c>
      <c r="C12" s="46" t="s">
        <v>257</v>
      </c>
      <c r="D12" s="46" t="s">
        <v>258</v>
      </c>
      <c r="E12" s="46" t="s">
        <v>259</v>
      </c>
      <c r="F12" s="54" t="s">
        <v>260</v>
      </c>
      <c r="G12" s="46" t="s">
        <v>261</v>
      </c>
      <c r="H12" s="45" t="s">
        <v>262</v>
      </c>
      <c r="I12" s="46" t="s">
        <v>247</v>
      </c>
      <c r="J12" s="45" t="s">
        <v>263</v>
      </c>
      <c r="K12" s="46" t="s">
        <v>264</v>
      </c>
    </row>
    <row r="13" spans="1:16" ht="18" customHeight="1">
      <c r="A13" s="42" t="s">
        <v>255</v>
      </c>
      <c r="B13" s="43" t="s">
        <v>118</v>
      </c>
      <c r="C13" s="43" t="s">
        <v>225</v>
      </c>
      <c r="D13" s="43" t="s">
        <v>231</v>
      </c>
      <c r="E13" s="43" t="s">
        <v>227</v>
      </c>
      <c r="F13" s="43" t="s">
        <v>125</v>
      </c>
      <c r="G13" s="43" t="s">
        <v>228</v>
      </c>
      <c r="H13" s="42"/>
      <c r="I13" s="43" t="s">
        <v>229</v>
      </c>
      <c r="J13" s="42" t="s">
        <v>265</v>
      </c>
      <c r="K13" s="42"/>
    </row>
    <row r="14" spans="1:16" ht="18" customHeight="1">
      <c r="A14" s="45" t="s">
        <v>230</v>
      </c>
      <c r="B14" s="46" t="s">
        <v>118</v>
      </c>
      <c r="C14" s="46" t="s">
        <v>225</v>
      </c>
      <c r="D14" s="46" t="s">
        <v>226</v>
      </c>
      <c r="E14" s="46" t="s">
        <v>227</v>
      </c>
      <c r="F14" s="46" t="s">
        <v>125</v>
      </c>
      <c r="G14" s="46" t="s">
        <v>228</v>
      </c>
      <c r="H14" s="45"/>
      <c r="I14" s="46" t="s">
        <v>229</v>
      </c>
      <c r="J14" s="45" t="s">
        <v>266</v>
      </c>
      <c r="K14" s="45"/>
    </row>
    <row r="15" spans="1:16" ht="18" customHeight="1">
      <c r="A15" s="42" t="s">
        <v>242</v>
      </c>
      <c r="B15" s="43" t="s">
        <v>234</v>
      </c>
      <c r="C15" s="42" t="s">
        <v>235</v>
      </c>
      <c r="D15" s="43" t="s">
        <v>236</v>
      </c>
      <c r="E15" s="43" t="s">
        <v>227</v>
      </c>
      <c r="F15" s="43" t="s">
        <v>125</v>
      </c>
      <c r="G15" s="43" t="s">
        <v>228</v>
      </c>
      <c r="H15" s="42"/>
      <c r="I15" s="43" t="s">
        <v>241</v>
      </c>
      <c r="J15" s="42" t="s">
        <v>267</v>
      </c>
      <c r="K15" s="42"/>
    </row>
    <row r="16" spans="1:16" ht="18" customHeight="1">
      <c r="A16" s="45" t="s">
        <v>265</v>
      </c>
      <c r="B16" s="46" t="s">
        <v>118</v>
      </c>
      <c r="C16" s="46" t="s">
        <v>225</v>
      </c>
      <c r="D16" s="46" t="s">
        <v>231</v>
      </c>
      <c r="E16" s="46" t="s">
        <v>227</v>
      </c>
      <c r="F16" s="46" t="s">
        <v>125</v>
      </c>
      <c r="G16" s="46" t="s">
        <v>228</v>
      </c>
      <c r="H16" s="45"/>
      <c r="I16" s="46" t="s">
        <v>229</v>
      </c>
      <c r="J16" s="45" t="s">
        <v>268</v>
      </c>
      <c r="K16" s="45"/>
    </row>
    <row r="17" spans="1:11" ht="18" customHeight="1">
      <c r="A17" s="42" t="s">
        <v>269</v>
      </c>
      <c r="B17" s="43" t="s">
        <v>251</v>
      </c>
      <c r="C17" s="42" t="s">
        <v>270</v>
      </c>
      <c r="D17" s="43" t="s">
        <v>253</v>
      </c>
      <c r="E17" s="43" t="s">
        <v>237</v>
      </c>
      <c r="F17" s="54" t="s">
        <v>271</v>
      </c>
      <c r="G17" s="43" t="s">
        <v>272</v>
      </c>
      <c r="H17" s="42" t="s">
        <v>273</v>
      </c>
      <c r="I17" s="43" t="s">
        <v>241</v>
      </c>
      <c r="J17" s="42" t="s">
        <v>274</v>
      </c>
      <c r="K17" s="42"/>
    </row>
    <row r="18" spans="1:11" ht="18" customHeight="1">
      <c r="A18" s="45" t="s">
        <v>268</v>
      </c>
      <c r="B18" s="46" t="s">
        <v>118</v>
      </c>
      <c r="C18" s="46" t="s">
        <v>225</v>
      </c>
      <c r="D18" s="46" t="s">
        <v>231</v>
      </c>
      <c r="E18" s="46" t="s">
        <v>227</v>
      </c>
      <c r="F18" s="46" t="s">
        <v>125</v>
      </c>
      <c r="G18" s="46" t="s">
        <v>228</v>
      </c>
      <c r="H18" s="45"/>
      <c r="I18" s="46" t="s">
        <v>229</v>
      </c>
      <c r="J18" s="45" t="s">
        <v>266</v>
      </c>
      <c r="K18" s="46" t="s">
        <v>275</v>
      </c>
    </row>
    <row r="19" spans="1:11" ht="18" customHeight="1">
      <c r="A19" s="42" t="s">
        <v>263</v>
      </c>
      <c r="B19" s="43" t="s">
        <v>244</v>
      </c>
      <c r="C19" s="43" t="s">
        <v>257</v>
      </c>
      <c r="D19" s="43" t="s">
        <v>276</v>
      </c>
      <c r="E19" s="43" t="s">
        <v>227</v>
      </c>
      <c r="F19" s="43" t="s">
        <v>125</v>
      </c>
      <c r="G19" s="43" t="s">
        <v>228</v>
      </c>
      <c r="H19" s="42"/>
      <c r="I19" s="43" t="s">
        <v>247</v>
      </c>
      <c r="J19" s="42" t="s">
        <v>277</v>
      </c>
      <c r="K19" s="43" t="s">
        <v>278</v>
      </c>
    </row>
  </sheetData>
  <mergeCells count="2">
    <mergeCell ref="A1:P1"/>
    <mergeCell ref="A2:P2"/>
  </mergeCells>
  <phoneticPr fontId="33" type="noConversion"/>
  <pageMargins left="0.75" right="0.75" top="1" bottom="1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3E50"/>
    <pageSetUpPr fitToPage="1"/>
  </sheetPr>
  <dimension ref="A1:P28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/>
  <cols>
    <col min="1" max="1" width="10" customWidth="1"/>
    <col min="2" max="2" width="12" customWidth="1"/>
    <col min="3" max="4" width="14" customWidth="1"/>
    <col min="5" max="5" width="10" customWidth="1"/>
    <col min="6" max="6" width="14" customWidth="1"/>
    <col min="7" max="7" width="15" customWidth="1"/>
    <col min="8" max="8" width="14" customWidth="1"/>
    <col min="9" max="9" width="12" customWidth="1"/>
    <col min="10" max="10" width="16" customWidth="1"/>
  </cols>
  <sheetData>
    <row r="1" spans="1:16" ht="36" customHeight="1">
      <c r="A1" s="75" t="s">
        <v>279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</row>
    <row r="2" spans="1:16" ht="19.5" customHeight="1">
      <c r="A2" s="76" t="s">
        <v>79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</row>
    <row r="4" spans="1:16" ht="21.75" customHeight="1">
      <c r="A4" s="55" t="s">
        <v>80</v>
      </c>
      <c r="B4" s="55" t="s">
        <v>62</v>
      </c>
      <c r="C4" s="55" t="s">
        <v>280</v>
      </c>
      <c r="D4" s="55" t="s">
        <v>281</v>
      </c>
      <c r="E4" s="55" t="s">
        <v>282</v>
      </c>
      <c r="F4" s="55" t="s">
        <v>283</v>
      </c>
      <c r="G4" s="55" t="s">
        <v>284</v>
      </c>
      <c r="H4" s="55" t="s">
        <v>285</v>
      </c>
      <c r="I4" s="55" t="s">
        <v>286</v>
      </c>
      <c r="J4" s="55" t="s">
        <v>89</v>
      </c>
    </row>
    <row r="5" spans="1:16" ht="18" customHeight="1">
      <c r="A5" s="42" t="s">
        <v>90</v>
      </c>
      <c r="B5" s="43" t="s">
        <v>69</v>
      </c>
      <c r="C5" s="18">
        <v>25000000</v>
      </c>
      <c r="D5" s="18">
        <v>24850000</v>
      </c>
      <c r="E5" s="30">
        <f t="shared" ref="E5:E28" si="0">D5/C5</f>
        <v>0.99399999999999999</v>
      </c>
      <c r="F5" s="18">
        <f t="shared" ref="F5:F28" si="1">C5-D5</f>
        <v>150000</v>
      </c>
      <c r="G5" s="18">
        <v>0</v>
      </c>
      <c r="H5" s="18">
        <f t="shared" ref="H5:H28" si="2">G5+D5</f>
        <v>24850000</v>
      </c>
      <c r="I5" s="30">
        <f t="shared" ref="I5:I28" si="3">H5/C5</f>
        <v>0.99399999999999999</v>
      </c>
      <c r="J5" s="42"/>
    </row>
    <row r="6" spans="1:16" ht="18" customHeight="1">
      <c r="A6" s="45" t="s">
        <v>90</v>
      </c>
      <c r="B6" s="46" t="s">
        <v>70</v>
      </c>
      <c r="C6" s="19">
        <v>8500000</v>
      </c>
      <c r="D6" s="19">
        <v>7920000</v>
      </c>
      <c r="E6" s="25">
        <f t="shared" si="0"/>
        <v>0.93176470588235294</v>
      </c>
      <c r="F6" s="19">
        <f t="shared" si="1"/>
        <v>580000</v>
      </c>
      <c r="G6" s="19">
        <v>0</v>
      </c>
      <c r="H6" s="19">
        <f t="shared" si="2"/>
        <v>7920000</v>
      </c>
      <c r="I6" s="25">
        <f t="shared" si="3"/>
        <v>0.93176470588235294</v>
      </c>
      <c r="J6" s="45"/>
    </row>
    <row r="7" spans="1:16" ht="18" customHeight="1">
      <c r="A7" s="42" t="s">
        <v>90</v>
      </c>
      <c r="B7" s="43" t="s">
        <v>71</v>
      </c>
      <c r="C7" s="18">
        <v>15000000</v>
      </c>
      <c r="D7" s="18">
        <v>9800000</v>
      </c>
      <c r="E7" s="30">
        <f t="shared" si="0"/>
        <v>0.65333333333333332</v>
      </c>
      <c r="F7" s="18">
        <f t="shared" si="1"/>
        <v>5200000</v>
      </c>
      <c r="G7" s="18">
        <v>0</v>
      </c>
      <c r="H7" s="18">
        <f t="shared" si="2"/>
        <v>9800000</v>
      </c>
      <c r="I7" s="30">
        <f t="shared" si="3"/>
        <v>0.65333333333333332</v>
      </c>
      <c r="J7" s="43" t="s">
        <v>239</v>
      </c>
    </row>
    <row r="8" spans="1:16" ht="18" customHeight="1">
      <c r="A8" s="45" t="s">
        <v>90</v>
      </c>
      <c r="B8" s="46" t="s">
        <v>72</v>
      </c>
      <c r="C8" s="19">
        <v>6000000</v>
      </c>
      <c r="D8" s="19">
        <v>5850000</v>
      </c>
      <c r="E8" s="25">
        <f t="shared" si="0"/>
        <v>0.97499999999999998</v>
      </c>
      <c r="F8" s="19">
        <f t="shared" si="1"/>
        <v>150000</v>
      </c>
      <c r="G8" s="19">
        <v>0</v>
      </c>
      <c r="H8" s="19">
        <f t="shared" si="2"/>
        <v>5850000</v>
      </c>
      <c r="I8" s="25">
        <f t="shared" si="3"/>
        <v>0.97499999999999998</v>
      </c>
      <c r="J8" s="46" t="s">
        <v>287</v>
      </c>
    </row>
    <row r="9" spans="1:16" ht="18" customHeight="1">
      <c r="A9" s="42" t="s">
        <v>98</v>
      </c>
      <c r="B9" s="43" t="s">
        <v>69</v>
      </c>
      <c r="C9" s="18">
        <v>25000000</v>
      </c>
      <c r="D9" s="18">
        <v>24950000</v>
      </c>
      <c r="E9" s="30">
        <f t="shared" si="0"/>
        <v>0.998</v>
      </c>
      <c r="F9" s="18">
        <f t="shared" si="1"/>
        <v>50000</v>
      </c>
      <c r="G9" s="18">
        <f t="shared" ref="G9:G28" si="4">H5</f>
        <v>24850000</v>
      </c>
      <c r="H9" s="18">
        <f t="shared" si="2"/>
        <v>49800000</v>
      </c>
      <c r="I9" s="30">
        <f t="shared" si="3"/>
        <v>1.992</v>
      </c>
      <c r="J9" s="42"/>
    </row>
    <row r="10" spans="1:16" ht="18" customHeight="1">
      <c r="A10" s="45" t="s">
        <v>98</v>
      </c>
      <c r="B10" s="46" t="s">
        <v>70</v>
      </c>
      <c r="C10" s="19">
        <v>8500000</v>
      </c>
      <c r="D10" s="19">
        <v>8100000</v>
      </c>
      <c r="E10" s="25">
        <f t="shared" si="0"/>
        <v>0.95294117647058818</v>
      </c>
      <c r="F10" s="19">
        <f t="shared" si="1"/>
        <v>400000</v>
      </c>
      <c r="G10" s="19">
        <f t="shared" si="4"/>
        <v>7920000</v>
      </c>
      <c r="H10" s="19">
        <f t="shared" si="2"/>
        <v>16020000</v>
      </c>
      <c r="I10" s="25">
        <f t="shared" si="3"/>
        <v>1.8847058823529412</v>
      </c>
      <c r="J10" s="45"/>
    </row>
    <row r="11" spans="1:16" ht="18" customHeight="1">
      <c r="A11" s="42" t="s">
        <v>98</v>
      </c>
      <c r="B11" s="43" t="s">
        <v>71</v>
      </c>
      <c r="C11" s="18">
        <v>15000000</v>
      </c>
      <c r="D11" s="18">
        <v>4200000</v>
      </c>
      <c r="E11" s="30">
        <f t="shared" si="0"/>
        <v>0.28000000000000003</v>
      </c>
      <c r="F11" s="18">
        <f t="shared" si="1"/>
        <v>10800000</v>
      </c>
      <c r="G11" s="18">
        <f t="shared" si="4"/>
        <v>9800000</v>
      </c>
      <c r="H11" s="18">
        <f t="shared" si="2"/>
        <v>14000000</v>
      </c>
      <c r="I11" s="30">
        <f t="shared" si="3"/>
        <v>0.93333333333333335</v>
      </c>
      <c r="J11" s="42"/>
    </row>
    <row r="12" spans="1:16" ht="18" customHeight="1">
      <c r="A12" s="45" t="s">
        <v>98</v>
      </c>
      <c r="B12" s="46" t="s">
        <v>72</v>
      </c>
      <c r="C12" s="19">
        <v>6000000</v>
      </c>
      <c r="D12" s="19">
        <v>5920000</v>
      </c>
      <c r="E12" s="25">
        <f t="shared" si="0"/>
        <v>0.98666666666666669</v>
      </c>
      <c r="F12" s="19">
        <f t="shared" si="1"/>
        <v>80000</v>
      </c>
      <c r="G12" s="19">
        <f t="shared" si="4"/>
        <v>5850000</v>
      </c>
      <c r="H12" s="19">
        <f t="shared" si="2"/>
        <v>11770000</v>
      </c>
      <c r="I12" s="25">
        <f t="shared" si="3"/>
        <v>1.9616666666666667</v>
      </c>
      <c r="J12" s="45"/>
    </row>
    <row r="13" spans="1:16" ht="18" customHeight="1">
      <c r="A13" s="42" t="s">
        <v>99</v>
      </c>
      <c r="B13" s="43" t="s">
        <v>69</v>
      </c>
      <c r="C13" s="18">
        <v>25000000</v>
      </c>
      <c r="D13" s="18">
        <v>24900000</v>
      </c>
      <c r="E13" s="30">
        <f t="shared" si="0"/>
        <v>0.996</v>
      </c>
      <c r="F13" s="18">
        <f t="shared" si="1"/>
        <v>100000</v>
      </c>
      <c r="G13" s="18">
        <f t="shared" si="4"/>
        <v>49800000</v>
      </c>
      <c r="H13" s="18">
        <f t="shared" si="2"/>
        <v>74700000</v>
      </c>
      <c r="I13" s="30">
        <f t="shared" si="3"/>
        <v>2.988</v>
      </c>
      <c r="J13" s="42"/>
    </row>
    <row r="14" spans="1:16" ht="18" customHeight="1">
      <c r="A14" s="45" t="s">
        <v>99</v>
      </c>
      <c r="B14" s="46" t="s">
        <v>70</v>
      </c>
      <c r="C14" s="19">
        <v>8500000</v>
      </c>
      <c r="D14" s="19">
        <v>8250000</v>
      </c>
      <c r="E14" s="25">
        <f t="shared" si="0"/>
        <v>0.97058823529411764</v>
      </c>
      <c r="F14" s="19">
        <f t="shared" si="1"/>
        <v>250000</v>
      </c>
      <c r="G14" s="19">
        <f t="shared" si="4"/>
        <v>16020000</v>
      </c>
      <c r="H14" s="19">
        <f t="shared" si="2"/>
        <v>24270000</v>
      </c>
      <c r="I14" s="25">
        <f t="shared" si="3"/>
        <v>2.855294117647059</v>
      </c>
      <c r="J14" s="45"/>
    </row>
    <row r="15" spans="1:16" ht="18" customHeight="1">
      <c r="A15" s="42" t="s">
        <v>99</v>
      </c>
      <c r="B15" s="43" t="s">
        <v>71</v>
      </c>
      <c r="C15" s="18">
        <v>15000000</v>
      </c>
      <c r="D15" s="18">
        <v>12500000</v>
      </c>
      <c r="E15" s="30">
        <f t="shared" si="0"/>
        <v>0.83333333333333337</v>
      </c>
      <c r="F15" s="18">
        <f t="shared" si="1"/>
        <v>2500000</v>
      </c>
      <c r="G15" s="18">
        <f t="shared" si="4"/>
        <v>14000000</v>
      </c>
      <c r="H15" s="18">
        <f t="shared" si="2"/>
        <v>26500000</v>
      </c>
      <c r="I15" s="30">
        <f t="shared" si="3"/>
        <v>1.7666666666666666</v>
      </c>
      <c r="J15" s="43" t="s">
        <v>261</v>
      </c>
    </row>
    <row r="16" spans="1:16" ht="18" customHeight="1">
      <c r="A16" s="45" t="s">
        <v>99</v>
      </c>
      <c r="B16" s="46" t="s">
        <v>72</v>
      </c>
      <c r="C16" s="19">
        <v>6000000</v>
      </c>
      <c r="D16" s="19">
        <v>5780000</v>
      </c>
      <c r="E16" s="25">
        <f t="shared" si="0"/>
        <v>0.96333333333333337</v>
      </c>
      <c r="F16" s="19">
        <f t="shared" si="1"/>
        <v>220000</v>
      </c>
      <c r="G16" s="19">
        <f t="shared" si="4"/>
        <v>11770000</v>
      </c>
      <c r="H16" s="19">
        <f t="shared" si="2"/>
        <v>17550000</v>
      </c>
      <c r="I16" s="25">
        <f t="shared" si="3"/>
        <v>2.9249999999999998</v>
      </c>
      <c r="J16" s="45"/>
    </row>
    <row r="17" spans="1:10" ht="18" customHeight="1">
      <c r="A17" s="42" t="s">
        <v>100</v>
      </c>
      <c r="B17" s="43" t="s">
        <v>69</v>
      </c>
      <c r="C17" s="18">
        <v>25000000</v>
      </c>
      <c r="D17" s="18">
        <v>25000000</v>
      </c>
      <c r="E17" s="30">
        <f t="shared" si="0"/>
        <v>1</v>
      </c>
      <c r="F17" s="18">
        <f t="shared" si="1"/>
        <v>0</v>
      </c>
      <c r="G17" s="18">
        <f t="shared" si="4"/>
        <v>74700000</v>
      </c>
      <c r="H17" s="18">
        <f t="shared" si="2"/>
        <v>99700000</v>
      </c>
      <c r="I17" s="30">
        <f t="shared" si="3"/>
        <v>3.988</v>
      </c>
      <c r="J17" s="42"/>
    </row>
    <row r="18" spans="1:10" ht="18" customHeight="1">
      <c r="A18" s="45" t="s">
        <v>100</v>
      </c>
      <c r="B18" s="46" t="s">
        <v>70</v>
      </c>
      <c r="C18" s="19">
        <v>8500000</v>
      </c>
      <c r="D18" s="19">
        <v>8320000</v>
      </c>
      <c r="E18" s="25">
        <f t="shared" si="0"/>
        <v>0.97882352941176476</v>
      </c>
      <c r="F18" s="19">
        <f t="shared" si="1"/>
        <v>180000</v>
      </c>
      <c r="G18" s="19">
        <f t="shared" si="4"/>
        <v>24270000</v>
      </c>
      <c r="H18" s="19">
        <f t="shared" si="2"/>
        <v>32590000</v>
      </c>
      <c r="I18" s="25">
        <f t="shared" si="3"/>
        <v>3.8341176470588234</v>
      </c>
      <c r="J18" s="45"/>
    </row>
    <row r="19" spans="1:10" ht="18" customHeight="1">
      <c r="A19" s="42" t="s">
        <v>100</v>
      </c>
      <c r="B19" s="43" t="s">
        <v>71</v>
      </c>
      <c r="C19" s="18">
        <v>15000000</v>
      </c>
      <c r="D19" s="18">
        <v>5600000</v>
      </c>
      <c r="E19" s="30">
        <f t="shared" si="0"/>
        <v>0.37333333333333335</v>
      </c>
      <c r="F19" s="18">
        <f t="shared" si="1"/>
        <v>9400000</v>
      </c>
      <c r="G19" s="18">
        <f t="shared" si="4"/>
        <v>26500000</v>
      </c>
      <c r="H19" s="18">
        <f t="shared" si="2"/>
        <v>32100000</v>
      </c>
      <c r="I19" s="30">
        <f t="shared" si="3"/>
        <v>2.14</v>
      </c>
      <c r="J19" s="42"/>
    </row>
    <row r="20" spans="1:10" ht="18" customHeight="1">
      <c r="A20" s="45" t="s">
        <v>100</v>
      </c>
      <c r="B20" s="46" t="s">
        <v>72</v>
      </c>
      <c r="C20" s="19">
        <v>6000000</v>
      </c>
      <c r="D20" s="19">
        <v>5900000</v>
      </c>
      <c r="E20" s="25">
        <f t="shared" si="0"/>
        <v>0.98333333333333328</v>
      </c>
      <c r="F20" s="19">
        <f t="shared" si="1"/>
        <v>100000</v>
      </c>
      <c r="G20" s="19">
        <f t="shared" si="4"/>
        <v>17550000</v>
      </c>
      <c r="H20" s="19">
        <f t="shared" si="2"/>
        <v>23450000</v>
      </c>
      <c r="I20" s="25">
        <f t="shared" si="3"/>
        <v>3.9083333333333332</v>
      </c>
      <c r="J20" s="45"/>
    </row>
    <row r="21" spans="1:10" ht="18" customHeight="1">
      <c r="A21" s="42" t="s">
        <v>101</v>
      </c>
      <c r="B21" s="43" t="s">
        <v>69</v>
      </c>
      <c r="C21" s="18">
        <v>25000000</v>
      </c>
      <c r="D21" s="18">
        <v>24980000</v>
      </c>
      <c r="E21" s="30">
        <f t="shared" si="0"/>
        <v>0.99919999999999998</v>
      </c>
      <c r="F21" s="18">
        <f t="shared" si="1"/>
        <v>20000</v>
      </c>
      <c r="G21" s="18">
        <f t="shared" si="4"/>
        <v>99700000</v>
      </c>
      <c r="H21" s="18">
        <f t="shared" si="2"/>
        <v>124680000</v>
      </c>
      <c r="I21" s="30">
        <f t="shared" si="3"/>
        <v>4.9871999999999996</v>
      </c>
      <c r="J21" s="42"/>
    </row>
    <row r="22" spans="1:10" ht="18" customHeight="1">
      <c r="A22" s="45" t="s">
        <v>101</v>
      </c>
      <c r="B22" s="46" t="s">
        <v>70</v>
      </c>
      <c r="C22" s="19">
        <v>8500000</v>
      </c>
      <c r="D22" s="19">
        <v>8400000</v>
      </c>
      <c r="E22" s="25">
        <f t="shared" si="0"/>
        <v>0.9882352941176471</v>
      </c>
      <c r="F22" s="19">
        <f t="shared" si="1"/>
        <v>100000</v>
      </c>
      <c r="G22" s="19">
        <f t="shared" si="4"/>
        <v>32590000</v>
      </c>
      <c r="H22" s="19">
        <f t="shared" si="2"/>
        <v>40990000</v>
      </c>
      <c r="I22" s="25">
        <f t="shared" si="3"/>
        <v>4.8223529411764705</v>
      </c>
      <c r="J22" s="45"/>
    </row>
    <row r="23" spans="1:10" ht="18" customHeight="1">
      <c r="A23" s="42" t="s">
        <v>101</v>
      </c>
      <c r="B23" s="43" t="s">
        <v>71</v>
      </c>
      <c r="C23" s="18">
        <v>15000000</v>
      </c>
      <c r="D23" s="18">
        <v>7800000</v>
      </c>
      <c r="E23" s="30">
        <f t="shared" si="0"/>
        <v>0.52</v>
      </c>
      <c r="F23" s="18">
        <f t="shared" si="1"/>
        <v>7200000</v>
      </c>
      <c r="G23" s="18">
        <f t="shared" si="4"/>
        <v>32100000</v>
      </c>
      <c r="H23" s="18">
        <f t="shared" si="2"/>
        <v>39900000</v>
      </c>
      <c r="I23" s="30">
        <f t="shared" si="3"/>
        <v>2.66</v>
      </c>
      <c r="J23" s="43" t="s">
        <v>272</v>
      </c>
    </row>
    <row r="24" spans="1:10" ht="18" customHeight="1">
      <c r="A24" s="45" t="s">
        <v>101</v>
      </c>
      <c r="B24" s="46" t="s">
        <v>72</v>
      </c>
      <c r="C24" s="19">
        <v>6000000</v>
      </c>
      <c r="D24" s="19">
        <v>6000000</v>
      </c>
      <c r="E24" s="25">
        <f t="shared" si="0"/>
        <v>1</v>
      </c>
      <c r="F24" s="19">
        <f t="shared" si="1"/>
        <v>0</v>
      </c>
      <c r="G24" s="19">
        <f t="shared" si="4"/>
        <v>23450000</v>
      </c>
      <c r="H24" s="19">
        <f t="shared" si="2"/>
        <v>29450000</v>
      </c>
      <c r="I24" s="25">
        <f t="shared" si="3"/>
        <v>4.9083333333333332</v>
      </c>
      <c r="J24" s="46" t="s">
        <v>104</v>
      </c>
    </row>
    <row r="25" spans="1:10" ht="18" customHeight="1">
      <c r="A25" s="42" t="s">
        <v>103</v>
      </c>
      <c r="B25" s="43" t="s">
        <v>69</v>
      </c>
      <c r="C25" s="18">
        <v>25000000</v>
      </c>
      <c r="D25" s="18">
        <v>24970000</v>
      </c>
      <c r="E25" s="30">
        <f t="shared" si="0"/>
        <v>0.99880000000000002</v>
      </c>
      <c r="F25" s="18">
        <f t="shared" si="1"/>
        <v>30000</v>
      </c>
      <c r="G25" s="18">
        <f t="shared" si="4"/>
        <v>124680000</v>
      </c>
      <c r="H25" s="18">
        <f t="shared" si="2"/>
        <v>149650000</v>
      </c>
      <c r="I25" s="30">
        <f t="shared" si="3"/>
        <v>5.9859999999999998</v>
      </c>
      <c r="J25" s="42"/>
    </row>
    <row r="26" spans="1:10" ht="18" customHeight="1">
      <c r="A26" s="45" t="s">
        <v>103</v>
      </c>
      <c r="B26" s="46" t="s">
        <v>70</v>
      </c>
      <c r="C26" s="19">
        <v>8500000</v>
      </c>
      <c r="D26" s="19">
        <v>8480000</v>
      </c>
      <c r="E26" s="25">
        <f t="shared" si="0"/>
        <v>0.99764705882352944</v>
      </c>
      <c r="F26" s="19">
        <f t="shared" si="1"/>
        <v>20000</v>
      </c>
      <c r="G26" s="19">
        <f t="shared" si="4"/>
        <v>40990000</v>
      </c>
      <c r="H26" s="19">
        <f t="shared" si="2"/>
        <v>49470000</v>
      </c>
      <c r="I26" s="25">
        <f t="shared" si="3"/>
        <v>5.82</v>
      </c>
      <c r="J26" s="45"/>
    </row>
    <row r="27" spans="1:10" ht="18" customHeight="1">
      <c r="A27" s="42" t="s">
        <v>103</v>
      </c>
      <c r="B27" s="43" t="s">
        <v>71</v>
      </c>
      <c r="C27" s="18">
        <v>15000000</v>
      </c>
      <c r="D27" s="18">
        <v>8200000</v>
      </c>
      <c r="E27" s="30">
        <f t="shared" si="0"/>
        <v>0.54666666666666663</v>
      </c>
      <c r="F27" s="18">
        <f t="shared" si="1"/>
        <v>6800000</v>
      </c>
      <c r="G27" s="18">
        <f t="shared" si="4"/>
        <v>39900000</v>
      </c>
      <c r="H27" s="18">
        <f t="shared" si="2"/>
        <v>48100000</v>
      </c>
      <c r="I27" s="30">
        <f t="shared" si="3"/>
        <v>3.2066666666666666</v>
      </c>
      <c r="J27" s="42"/>
    </row>
    <row r="28" spans="1:10" ht="18" customHeight="1">
      <c r="A28" s="45" t="s">
        <v>103</v>
      </c>
      <c r="B28" s="46" t="s">
        <v>72</v>
      </c>
      <c r="C28" s="19">
        <v>6000000</v>
      </c>
      <c r="D28" s="19">
        <v>6000000</v>
      </c>
      <c r="E28" s="25">
        <f t="shared" si="0"/>
        <v>1</v>
      </c>
      <c r="F28" s="19">
        <f t="shared" si="1"/>
        <v>0</v>
      </c>
      <c r="G28" s="19">
        <f t="shared" si="4"/>
        <v>29450000</v>
      </c>
      <c r="H28" s="19">
        <f t="shared" si="2"/>
        <v>35450000</v>
      </c>
      <c r="I28" s="25">
        <f t="shared" si="3"/>
        <v>5.9083333333333332</v>
      </c>
      <c r="J28" s="45"/>
    </row>
  </sheetData>
  <mergeCells count="2">
    <mergeCell ref="A1:P1"/>
    <mergeCell ref="A2:P2"/>
  </mergeCells>
  <phoneticPr fontId="33" type="noConversion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8</vt:i4>
      </vt:variant>
    </vt:vector>
  </HeadingPairs>
  <TitlesOfParts>
    <vt:vector size="16" baseType="lpstr">
      <vt:lpstr>🏠메인대시보드</vt:lpstr>
      <vt:lpstr>①급수량관리</vt:lpstr>
      <vt:lpstr>②수질검사</vt:lpstr>
      <vt:lpstr>③누수_유수율</vt:lpstr>
      <vt:lpstr>④요금수입</vt:lpstr>
      <vt:lpstr>⑤민원관리</vt:lpstr>
      <vt:lpstr>⑥시설물점검</vt:lpstr>
      <vt:lpstr>⑦예산집행</vt:lpstr>
      <vt:lpstr>①급수량관리!Print_Titles</vt:lpstr>
      <vt:lpstr>②수질검사!Print_Titles</vt:lpstr>
      <vt:lpstr>③누수_유수율!Print_Titles</vt:lpstr>
      <vt:lpstr>④요금수입!Print_Titles</vt:lpstr>
      <vt:lpstr>⑤민원관리!Print_Titles</vt:lpstr>
      <vt:lpstr>⑥시설물점검!Print_Titles</vt:lpstr>
      <vt:lpstr>⑦예산집행!Print_Titles</vt:lpstr>
      <vt:lpstr>🏠메인대시보드!Print_Titles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2026-07-30T11:01:02Z</dcterms:created>
  <dcterms:modified xsi:type="dcterms:W3CDTF">2026-08-07T01:57:09Z</dcterms:modified>
  <dc:language>en-US</dc:language>
</cp:coreProperties>
</file>